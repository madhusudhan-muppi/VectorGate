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solidated" sheetId="1" state="visible" r:id="rId3"/>
    <sheet name="Species_Summary" sheetId="2" state="visible" r:id="rId4"/>
    <sheet name="Sources" sheetId="3" state="visible" r:id="rId5"/>
    <sheet name="Readme" sheetId="4" state="visible" r:id="rId6"/>
  </sheets>
  <definedNames>
    <definedName function="false" hidden="true" localSheetId="0" name="_xlnm._FilterDatabase" vbProcedure="false">Consolidated!$A$1:$U$60</definedName>
    <definedName function="false" hidden="true" localSheetId="2" name="_xlnm._FilterDatabase" vbProcedure="false">Sources!$A$1:$F$24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<sst xmlns="http://schemas.openxmlformats.org/spreadsheetml/2006/main" count="1334" uniqueCount="413">
  <si>
    <t xml:space="preserve">Row_ID</t>
  </si>
  <si>
    <t xml:space="preserve">Species_Name</t>
  </si>
  <si>
    <t xml:space="preserve">Genus</t>
  </si>
  <si>
    <t xml:space="preserve">Sex</t>
  </si>
  <si>
    <t xml:space="preserve">Has_Frequency</t>
  </si>
  <si>
    <t xml:space="preserve">Freq_Min_Hz</t>
  </si>
  <si>
    <t xml:space="preserve">Freq_Max_Hz</t>
  </si>
  <si>
    <t xml:space="preserve">Freq_Mean_Hz</t>
  </si>
  <si>
    <t xml:space="preserve">Freq_SD_Hz</t>
  </si>
  <si>
    <t xml:space="preserve">Frequency_Basis</t>
  </si>
  <si>
    <t xml:space="preserve">Measurement_Conditions</t>
  </si>
  <si>
    <t xml:space="preserve">Vector_Status</t>
  </si>
  <si>
    <t xml:space="preserve">Disease_Association</t>
  </si>
  <si>
    <t xml:space="preserve">India_Relevance</t>
  </si>
  <si>
    <t xml:space="preserve">Evidence_Level</t>
  </si>
  <si>
    <t xml:space="preserve">Source</t>
  </si>
  <si>
    <t xml:space="preserve">Study_Year</t>
  </si>
  <si>
    <t xml:space="preserve">PMID_DOI</t>
  </si>
  <si>
    <t xml:space="preserve">Source_URL</t>
  </si>
  <si>
    <t xml:space="preserve">From_Version</t>
  </si>
  <si>
    <t xml:space="preserve">Notes</t>
  </si>
  <si>
    <t xml:space="preserve">R001</t>
  </si>
  <si>
    <t xml:space="preserve">Aedes aegypti</t>
  </si>
  <si>
    <t xml:space="preserve">Aedes</t>
  </si>
  <si>
    <t xml:space="preserve">Female</t>
  </si>
  <si>
    <t xml:space="preserve">Yes</t>
  </si>
  <si>
    <t xml:space="preserve">Published values across studies</t>
  </si>
  <si>
    <t xml:space="preserve">Not recorded in v1</t>
  </si>
  <si>
    <t xml:space="preserve">Established vector</t>
  </si>
  <si>
    <t xml:space="preserve">Dengue; Chikungunya; Zika; Yellow fever</t>
  </si>
  <si>
    <t xml:space="preserve">High</t>
  </si>
  <si>
    <t xml:space="preserve">Peer-reviewed acoustic studies + WHO</t>
  </si>
  <si>
    <t xml:space="preserve">https://academic.oup.com/aesa/article/115/1/113/6409746</t>
  </si>
  <si>
    <t xml:space="preserve">v1 (33-row)</t>
  </si>
  <si>
    <t xml:space="preserve">Frequency varies by study and experimental conditions.</t>
  </si>
  <si>
    <t xml:space="preserve">R002</t>
  </si>
  <si>
    <t xml:space="preserve">Fundamental frequency (F0)</t>
  </si>
  <si>
    <t xml:space="preserve">Lab-reared, India field-collected colonies, sound-recording device (Mandal et al. 2024)</t>
  </si>
  <si>
    <t xml:space="preserve">Yes - recognized dengue/chikungunya vector under NCVBDC-monitored NVBDCP</t>
  </si>
  <si>
    <t xml:space="preserve">HIGH</t>
  </si>
  <si>
    <t xml:space="preserve">Mandal et al. 2024 (Acta Tropica, S1)</t>
  </si>
  <si>
    <t xml:space="preserve">2024</t>
  </si>
  <si>
    <t xml:space="preserve">38642695</t>
  </si>
  <si>
    <t xml:space="preserve">https://www.sciencedirect.com/science/article/abs/pii/S0001706X24001049</t>
  </si>
  <si>
    <t xml:space="preserve">v2 (26-row)</t>
  </si>
  <si>
    <t xml:space="preserve">India-collected value. See SP001b/SP001c for other source-specific frequency values for the same species/sex - do not average across rows.</t>
  </si>
  <si>
    <t xml:space="preserve">R003</t>
  </si>
  <si>
    <t xml:space="preserve">Mean wingbeat frequency</t>
  </si>
  <si>
    <t xml:space="preserve">Lab colony, Florida USA, infrared sensor array, 23.0 +/- 0.5 degC, 60% RH (Kim et al. 2021)</t>
  </si>
  <si>
    <t xml:space="preserve">Yes (species-level; this specific measurement is from a US lab colony, not an Indian population)</t>
  </si>
  <si>
    <t xml:space="preserve">Kim et al. 2021 (Scientific Reports, S2)</t>
  </si>
  <si>
    <t xml:space="preserve">2021</t>
  </si>
  <si>
    <t xml:space="preserve">10.1038/s41598-021-89644-z</t>
  </si>
  <si>
    <t xml:space="preserve">https://www.nature.com/articles/s41598-021-89644-z</t>
  </si>
  <si>
    <t xml:space="preserve">Temperature explicitly reported: 23.0 degC. Compare to SP001c (32.6 degC, higher value) - illustrates temperature dependence of wingbeat frequency, exactly as flagged by the source paper's own discussion.</t>
  </si>
  <si>
    <t xml:space="preserve">R004</t>
  </si>
  <si>
    <t xml:space="preserve">Free-flight mating-swarm flight tone</t>
  </si>
  <si>
    <t xml:space="preserve">Free-flight mating swarms, Thailand, field, 32.6 +/- 0.5 degC (Cator et al. 2011, cited via Kim et al. 2021)</t>
  </si>
  <si>
    <t xml:space="preserve">Yes (species-level)</t>
  </si>
  <si>
    <t xml:space="preserve">MEDIUM</t>
  </si>
  <si>
    <t xml:space="preserve">Cator, Arthur, Ponlawat &amp; Harrington 2011 (S3) - value taken from citation within Kim et al. 2021 (S2), primary paper not directly fetched</t>
  </si>
  <si>
    <t xml:space="preserve">2011</t>
  </si>
  <si>
    <t xml:space="preserve">10.1603/ME11019</t>
  </si>
  <si>
    <t xml:space="preserve">Secondary citation via S2 (see Sources sheet)</t>
  </si>
  <si>
    <t xml:space="preserve">28.6% higher than Kim et al. 2021's lab value (498.1 Hz); Kim et al. attribute the difference to higher field temperature (32.6 vs 23.0 degC) and/or differing recording devices (microphone vs infrared sensor) - do not treat either value as the 'true' frequency for the species.</t>
  </si>
  <si>
    <t xml:space="preserve">R005</t>
  </si>
  <si>
    <t xml:space="preserve">Male</t>
  </si>
  <si>
    <t xml:space="preserve">Published range</t>
  </si>
  <si>
    <t xml:space="preserve">Male frequency is substantially higher than female frequency.</t>
  </si>
  <si>
    <t xml:space="preserve">R006</t>
  </si>
  <si>
    <t xml:space="preserve">Approximate wingbeat frequency (free flight, high-speed video)</t>
  </si>
  <si>
    <t xml:space="preserve">Tethered-free flight chamber, high-speed video at 13,000 fps, unmated males 4-7 days old (arXiv preprint, S5) - NOT peer-reviewed</t>
  </si>
  <si>
    <t xml:space="preserve">Dengue; Chikungunya; Zika; Yellow fever (male mosquitoes do not bite/transmit disease themselves, but species is an established vector via females)</t>
  </si>
  <si>
    <t xml:space="preserve">LOW</t>
  </si>
  <si>
    <t xml:space="preserve">arXiv preprint 1205.5260 (S5) - LOW CONFIDENCE, preprint only</t>
  </si>
  <si>
    <t xml:space="preserve">Not confirmed (preprint)</t>
  </si>
  <si>
    <t xml:space="preserve">Not applicable (preprint)</t>
  </si>
  <si>
    <t xml:space="preserve">https://arxiv.org/pdf/1205.5260</t>
  </si>
  <si>
    <t xml:space="preserve">Included ONLY because no peer-reviewed male Ae. aegypti Hz figure could be retrieved in this research pass; Arthur et al. 2014 (S4, peer-reviewed) confirms qualitatively that male fundamental frequency is higher than female and modulated over a wider range, but its exact Hz table was not accessible (paywalled). Treat this row as provisional.</t>
  </si>
  <si>
    <t xml:space="preserve">R007</t>
  </si>
  <si>
    <t xml:space="preserve">Aedes albopictus</t>
  </si>
  <si>
    <t xml:space="preserve">Dengue; Chikungunya; Zika</t>
  </si>
  <si>
    <t xml:space="preserve">Published values overlap with other species.</t>
  </si>
  <si>
    <t xml:space="preserve">R008</t>
  </si>
  <si>
    <t xml:space="preserve">India field-collected, sound-recording device (Mandal et al. 2024)</t>
  </si>
  <si>
    <t xml:space="preserve">Documented vector</t>
  </si>
  <si>
    <t xml:space="preserve">Dengue; Chikungunya</t>
  </si>
  <si>
    <t xml:space="preserve">Yes - explicitly identified as the dengue vector in an Indian field vector-composition study, though present at very low relative abundance (0.05%) in that survey</t>
  </si>
  <si>
    <t xml:space="preserve">nan</t>
  </si>
  <si>
    <t xml:space="preserve">R009</t>
  </si>
  <si>
    <t xml:space="preserve">Peer-reviewed acoustic studies</t>
  </si>
  <si>
    <t xml:space="preserve">Male frequency depends on study and conditions.</t>
  </si>
  <si>
    <t xml:space="preserve">R010</t>
  </si>
  <si>
    <t xml:space="preserve">Aedes vittatus</t>
  </si>
  <si>
    <t xml:space="preserve">Mean ± SD</t>
  </si>
  <si>
    <t xml:space="preserve">Documented/experimental vector evidence</t>
  </si>
  <si>
    <t xml:space="preserve">Dengue; Chikungunya; Zika; Yellow fever; experimental competence reported for several viruses</t>
  </si>
  <si>
    <t xml:space="preserve">Medium</t>
  </si>
  <si>
    <t xml:space="preserve">2024 India acoustic study + vector-competence literature</t>
  </si>
  <si>
    <t xml:space="preserve">https://www.sciencedirect.com/science/article/pii/S0001706X24001049</t>
  </si>
  <si>
    <t xml:space="preserve">Experimental competence is not equivalent to principal epidemiological vector status.</t>
  </si>
  <si>
    <t xml:space="preserve">R011</t>
  </si>
  <si>
    <t xml:space="preserve">India field-collected, sound-recording device (Mandal et al. 2024) - reported as the highest F0 of the 19 species studied</t>
  </si>
  <si>
    <t xml:space="preserve">Evidence insufficient</t>
  </si>
  <si>
    <t xml:space="preserve">Not found</t>
  </si>
  <si>
    <t xml:space="preserve">Species recorded in India (S1); disease/vector role not verified in this research pass</t>
  </si>
  <si>
    <t xml:space="preserve">Ae. vittatus is reported elsewhere in the literature as a sylvatic yellow-fever/chikungunya-associated species in parts of Africa, but no such claim is included here because it was not independently verified with a primary source in this research pass. Do not add without a checked citation.</t>
  </si>
  <si>
    <t xml:space="preserve">R012</t>
  </si>
  <si>
    <t xml:space="preserve">Anopheles albimanus</t>
  </si>
  <si>
    <t xml:space="preserve">Anopheles</t>
  </si>
  <si>
    <t xml:space="preserve">Malaria</t>
  </si>
  <si>
    <t xml:space="preserve">Regional malaria vector in the Americas.</t>
  </si>
  <si>
    <t xml:space="preserve">R013</t>
  </si>
  <si>
    <t xml:space="preserve">Male reference range.</t>
  </si>
  <si>
    <t xml:space="preserve">R014</t>
  </si>
  <si>
    <t xml:space="preserve">Anopheles annularis</t>
  </si>
  <si>
    <t xml:space="preserve">Not reported</t>
  </si>
  <si>
    <t xml:space="preserve">No</t>
  </si>
  <si>
    <t xml:space="preserve">Yes - named as a malaria vector in an Indian field vector-composition study</t>
  </si>
  <si>
    <t xml:space="preserve">Not found - no acoustic/wingbeat frequency study located for this species in this research pass</t>
  </si>
  <si>
    <t xml:space="preserve">Not confirmed</t>
  </si>
  <si>
    <t xml:space="preserve">https://pmc.ncbi.nlm.nih.gov/articles/PMC4017167/</t>
  </si>
  <si>
    <t xml:space="preserve">No wingbeat/acoustic frequency data located for this species in this research pass - do not infer a value from congeners.</t>
  </si>
  <si>
    <t xml:space="preserve">R015</t>
  </si>
  <si>
    <t xml:space="preserve">Anopheles arabiensis</t>
  </si>
  <si>
    <t xml:space="preserve">Published value</t>
  </si>
  <si>
    <t xml:space="preserve">Major African malaria vector.</t>
  </si>
  <si>
    <t xml:space="preserve">R016</t>
  </si>
  <si>
    <t xml:space="preserve">Male reference frequency.</t>
  </si>
  <si>
    <t xml:space="preserve">R017</t>
  </si>
  <si>
    <t xml:space="preserve">Anopheles barbirostris</t>
  </si>
  <si>
    <t xml:space="preserve">Japanese encephalitis</t>
  </si>
  <si>
    <t xml:space="preserve">Yes - named as a JE vector in an Indian field vector-composition study</t>
  </si>
  <si>
    <t xml:space="preserve">R018</t>
  </si>
  <si>
    <t xml:space="preserve">Anopheles crawfordi</t>
  </si>
  <si>
    <t xml:space="preserve">Range + mean</t>
  </si>
  <si>
    <t xml:space="preserve">No major human-disease vector role identified</t>
  </si>
  <si>
    <t xml:space="preserve">No major human-disease vector association identified in reviewed sources</t>
  </si>
  <si>
    <t xml:space="preserve">2025 India acoustic study</t>
  </si>
  <si>
    <t xml:space="preserve">https://pmc.ncbi.nlm.nih.gov/articles/PMC12049413/</t>
  </si>
  <si>
    <t xml:space="preserve">Included primarily as an acoustic reference species.</t>
  </si>
  <si>
    <t xml:space="preserve">R019</t>
  </si>
  <si>
    <t xml:space="preserve">Anopheles culicifacies</t>
  </si>
  <si>
    <t xml:space="preserve">Yes - named as a malaria vector in an Indian field vector-composition study (village survey around a military station)</t>
  </si>
  <si>
    <t xml:space="preserve">R020</t>
  </si>
  <si>
    <t xml:space="preserve">Anopheles culiciformis</t>
  </si>
  <si>
    <t xml:space="preserve">2024 India acoustic study</t>
  </si>
  <si>
    <t xml:space="preserve">R021</t>
  </si>
  <si>
    <t xml:space="preserve">India field-collected, sound-recording device (Mandal et al. 2024) - reported as the LOWEST F0 of the 19 species studied</t>
  </si>
  <si>
    <t xml:space="preserve">R022</t>
  </si>
  <si>
    <t xml:space="preserve">Anopheles darlingi</t>
  </si>
  <si>
    <t xml:space="preserve">Major malaria vector in tropical South America.</t>
  </si>
  <si>
    <t xml:space="preserve">R023</t>
  </si>
  <si>
    <t xml:space="preserve">R024</t>
  </si>
  <si>
    <t xml:space="preserve">Anopheles elegans</t>
  </si>
  <si>
    <t xml:space="preserve">R025</t>
  </si>
  <si>
    <t xml:space="preserve">R026</t>
  </si>
  <si>
    <t xml:space="preserve">Anopheles gambiae</t>
  </si>
  <si>
    <t xml:space="preserve">No - primary Afrotropical malaria vector; not an established Indian vector species in sources reviewed</t>
  </si>
  <si>
    <t xml:space="preserve">Not found - no acoustic/wingbeat frequency study located for this species in this research pass (note: species is included in the 2024 India acoustic study's 19-species list per its abstract count of 7 Anopheles species, but this specific species' value was not among the 9 explicitly quoted in the accessible abstract text)</t>
  </si>
  <si>
    <t xml:space="preserve">https://www.sciencedirect.com/topics/immunology-and-microbiology/anopheles-gambiae ; https://www.ncbi.nlm.nih.gov/pmc/articles/PMC5354110/</t>
  </si>
  <si>
    <t xml:space="preserve">Malaria-vector status here rests partly on a tertiary topic-summary source (S10), not a primary peer-reviewed study fetched in this pass - flag for stronger sourcing (e.g., WHO malaria vector pages) before production use.</t>
  </si>
  <si>
    <t xml:space="preserve">R027</t>
  </si>
  <si>
    <t xml:space="preserve">Anopheles gambiae s.s.</t>
  </si>
  <si>
    <t xml:space="preserve">Species-complex taxonomy should be handled carefully.</t>
  </si>
  <si>
    <t xml:space="preserve">R028</t>
  </si>
  <si>
    <t xml:space="preserve">Species-complex taxonomy can affect labels.</t>
  </si>
  <si>
    <t xml:space="preserve">R029</t>
  </si>
  <si>
    <t xml:space="preserve">Anopheles philippinensis / Anopheles nivipes</t>
  </si>
  <si>
    <t xml:space="preserve">Yes - reported as the most abundant malaria-vector taxon (2.05%) in an Indian field vector-composition study</t>
  </si>
  <si>
    <t xml:space="preserve">R030</t>
  </si>
  <si>
    <t xml:space="preserve">Anopheles stephensi</t>
  </si>
  <si>
    <t xml:space="preserve">NCVBDC + peer-reviewed acoustic studies</t>
  </si>
  <si>
    <t xml:space="preserve">Important malaria vector in India.</t>
  </si>
  <si>
    <t xml:space="preserve">R031</t>
  </si>
  <si>
    <t xml:space="preserve">R032</t>
  </si>
  <si>
    <t xml:space="preserve">Yes - primary urban malaria vector in India (per S12, which cites Tamil Nadu, India breeding-site literature); also confirmed refractory (NOT competent) for Zika virus (S9)</t>
  </si>
  <si>
    <t xml:space="preserve">10.3201/eid2702.200019 (pattern-based, not independently confirmed)</t>
  </si>
  <si>
    <t xml:space="preserve">https://wwwnc.cdc.gov/eid/article/27/2/20-0019_article</t>
  </si>
  <si>
    <t xml:space="preserve">India-specific vector role is well-established in the broader literature (An. stephensi is the principal urban/peri-urban malaria vector in Indian cities), but the specific field-infection citation retrieved in this pass (S11) is from Ethiopia, not India; India relevance here is supported by S12's citation of Tamil Nadu breeding studies rather than direct India infection data.</t>
  </si>
  <si>
    <t xml:space="preserve">R033</t>
  </si>
  <si>
    <t xml:space="preserve">Anopheles subpictus</t>
  </si>
  <si>
    <t xml:space="preserve">Documented vector / regional association</t>
  </si>
  <si>
    <t xml:space="preserve">Malaria; Japanese encephalitis association reported in Indian surveillance literature</t>
  </si>
  <si>
    <t xml:space="preserve">2024 India acoustic study + NCVBDC</t>
  </si>
  <si>
    <t xml:space="preserve">Disease role is geography-specific.</t>
  </si>
  <si>
    <t xml:space="preserve">R034</t>
  </si>
  <si>
    <t xml:space="preserve">Species recorded in India (S1); this species is widely discussed in the literature as a secondary/potential malaria vector in parts of India, but that claim is NOT included here because it was not independently verified with a primary source in this research pass</t>
  </si>
  <si>
    <t xml:space="preserve">R035</t>
  </si>
  <si>
    <t xml:space="preserve">Armigeres subalbatus</t>
  </si>
  <si>
    <t xml:space="preserve">Armigeres</t>
  </si>
  <si>
    <t xml:space="preserve">Vector involvement reported for some filarial/arboviral systems</t>
  </si>
  <si>
    <t xml:space="preserve">2025 India acoustic study + vector literature</t>
  </si>
  <si>
    <t xml:space="preserve">Do not collapse experimental competence and epidemiological importance into yes/no.</t>
  </si>
  <si>
    <t xml:space="preserve">R036</t>
  </si>
  <si>
    <t xml:space="preserve">Culex alienus</t>
  </si>
  <si>
    <t xml:space="preserve">Culex</t>
  </si>
  <si>
    <t xml:space="preserve">R037</t>
  </si>
  <si>
    <t xml:space="preserve">R038</t>
  </si>
  <si>
    <t xml:space="preserve">Culex bitaeniorhynchus</t>
  </si>
  <si>
    <t xml:space="preserve">R039</t>
  </si>
  <si>
    <t xml:space="preserve">Culex gelidus</t>
  </si>
  <si>
    <t xml:space="preserve">Documented/secondary vector</t>
  </si>
  <si>
    <t xml:space="preserve">Regional importance varies.</t>
  </si>
  <si>
    <t xml:space="preserve">R040</t>
  </si>
  <si>
    <t xml:space="preserve">Yes - explicitly listed as a JE vector in an Indian field vector-composition study</t>
  </si>
  <si>
    <t xml:space="preserve">R041</t>
  </si>
  <si>
    <t xml:space="preserve">Culex molestus</t>
  </si>
  <si>
    <t xml:space="preserve">Peer-reviewed acoustic compilation</t>
  </si>
  <si>
    <t xml:space="preserve">R042</t>
  </si>
  <si>
    <t xml:space="preserve">Culex pipiens</t>
  </si>
  <si>
    <t xml:space="preserve">West Nile virus; St. Louis encephalitis</t>
  </si>
  <si>
    <t xml:space="preserve">Vector importance varies by region and member of the pipiens complex.</t>
  </si>
  <si>
    <t xml:space="preserve">R043</t>
  </si>
  <si>
    <t xml:space="preserve">R044</t>
  </si>
  <si>
    <t xml:space="preserve">Culex quinquefasciatus</t>
  </si>
  <si>
    <t xml:space="preserve">Established/documented vector</t>
  </si>
  <si>
    <t xml:space="preserve">Lymphatic filariasis; Japanese encephalitis; West Nile/St. Louis encephalitis in relevant regions</t>
  </si>
  <si>
    <t xml:space="preserve">WHO + NCVBDC + peer-reviewed acoustic studies</t>
  </si>
  <si>
    <t xml:space="preserve">Importance varies by region and pathogen.</t>
  </si>
  <si>
    <t xml:space="preserve">R045</t>
  </si>
  <si>
    <t xml:space="preserve">Mean wingbeat frequency (mean of 5 individuals' means: 448.8, 454.7, 434.6, 447.8, 447.7 Hz)</t>
  </si>
  <si>
    <t xml:space="preserve">Lab colony, USA, infrared sensor array, 23.0 +/- 0.5 degC, 60% RH, measured over 20 min per individual, 5 individuals, no significant difference over time (Kim et al. 2021)</t>
  </si>
  <si>
    <t xml:space="preserve">Lymphatic filariasis; West Nile virus; other encephalitis viruses</t>
  </si>
  <si>
    <t xml:space="preserve">Yes - explicitly listed as a lymphatic filariasis (and JE-co-associated) vector in an Indian field vector-composition study</t>
  </si>
  <si>
    <t xml:space="preserve">No significant wingbeat-frequency difference was found between or within individuals over a 20-min recording window (S2) - supports treating this as a relatively stable lab-colony value, though still not a universal constant across populations/temperatures.</t>
  </si>
  <si>
    <t xml:space="preserve">R046</t>
  </si>
  <si>
    <t xml:space="preserve">R047</t>
  </si>
  <si>
    <t xml:space="preserve">Culex restuans</t>
  </si>
  <si>
    <t xml:space="preserve">Mean wingbeat frequency - lowest of 29 North American species assayed</t>
  </si>
  <si>
    <t xml:space="preserve">Field-collected, Florida USA, infrared sensor array, 23.0 +/- 0.5 degC (Kim et al. 2021)</t>
  </si>
  <si>
    <t xml:space="preserve">No - species is North American; not established as occurring in India</t>
  </si>
  <si>
    <t xml:space="preserve">Statistically significantly different from all other 28 species assayed in this study (P&lt;=0.0001).</t>
  </si>
  <si>
    <t xml:space="preserve">R048</t>
  </si>
  <si>
    <t xml:space="preserve">Culex tarsalis</t>
  </si>
  <si>
    <t xml:space="preserve">West Nile virus; St. Louis encephalitis; Western equine encephalitis</t>
  </si>
  <si>
    <t xml:space="preserve">Important vector in North America.</t>
  </si>
  <si>
    <t xml:space="preserve">R049</t>
  </si>
  <si>
    <t xml:space="preserve">Culex tritaeniorhynchus</t>
  </si>
  <si>
    <t xml:space="preserve">Published value + 2024 India mean ± SD</t>
  </si>
  <si>
    <t xml:space="preserve">Established vector; principal vector in relevant Indian settings</t>
  </si>
  <si>
    <t xml:space="preserve">https://ncvbdc.mohfw.gov.in/index1.php?Background=Dark&amp;lang=1&amp;level=2&amp;lid=3756&amp;sublinkid=5923</t>
  </si>
  <si>
    <t xml:space="preserve">Different studies give different reference values; keep source-specific measurements.</t>
  </si>
  <si>
    <t xml:space="preserve">R050</t>
  </si>
  <si>
    <t xml:space="preserve">Yes - species is present in India and JE is an NVBDCP-targeted disease (S7); direct India field-infection data not captured in this pass</t>
  </si>
  <si>
    <t xml:space="preserve">Disease evidence (S8) is from China, not India; India-specific JE vector list retrieved in this pass (S6) named An. barbirostris, Cx. bitaeniorhynchus, Cx. gelidus and the Cx. vishnui group, but did NOT explicitly name Cx. tritaeniorhynchus in the excerpt reviewed - this is a gap worth resolving with direct NCVBDC/ICMR sourcing before production use.</t>
  </si>
  <si>
    <t xml:space="preserve">R051</t>
  </si>
  <si>
    <t xml:space="preserve">R052</t>
  </si>
  <si>
    <t xml:space="preserve">Culex vishnui group</t>
  </si>
  <si>
    <t xml:space="preserve">Yes - named as a JE vector group in an Indian field vector-composition study</t>
  </si>
  <si>
    <t xml:space="preserve">R053</t>
  </si>
  <si>
    <t xml:space="preserve">Hulecoetomyia fluviatilis</t>
  </si>
  <si>
    <t xml:space="preserve">Hulecoetomyia</t>
  </si>
  <si>
    <t xml:space="preserve">R054</t>
  </si>
  <si>
    <t xml:space="preserve">Hulecoetomyia (per source paper)</t>
  </si>
  <si>
    <t xml:space="preserve">Genus name reproduced exactly as reported in the source paper's abstract. Taxonomic placement (this may correspond to a species more commonly classified under subgenus Downsiomyia or a regional naming convention) was NOT independently verified - flag for expert entomological review before production use.</t>
  </si>
  <si>
    <t xml:space="preserve">R055</t>
  </si>
  <si>
    <t xml:space="preserve">Mansonia annulifera</t>
  </si>
  <si>
    <t xml:space="preserve">Mansonia</t>
  </si>
  <si>
    <t xml:space="preserve">Lymphatic filariasis; Japanese encephalitis (co-associated per source)</t>
  </si>
  <si>
    <t xml:space="preserve">Yes - named among filariasis+JE-associated vectors in an Indian field vector-composition study</t>
  </si>
  <si>
    <t xml:space="preserve">R056</t>
  </si>
  <si>
    <t xml:space="preserve">Mansonia uniformis</t>
  </si>
  <si>
    <t xml:space="preserve">R057</t>
  </si>
  <si>
    <t xml:space="preserve">Toxorhynchites brevipalpis</t>
  </si>
  <si>
    <t xml:space="preserve">Toxorhynchites</t>
  </si>
  <si>
    <t xml:space="preserve">Non-vector</t>
  </si>
  <si>
    <t xml:space="preserve">Not a normal human-biting disease vector; adults do not take blood meals</t>
  </si>
  <si>
    <t xml:space="preserve">Adults are not hematophagous.</t>
  </si>
  <si>
    <t xml:space="preserve">R058</t>
  </si>
  <si>
    <t xml:space="preserve">R059</t>
  </si>
  <si>
    <t xml:space="preserve">Uranotaenia lowii</t>
  </si>
  <si>
    <t xml:space="preserve">Uranotaenia</t>
  </si>
  <si>
    <t xml:space="preserve">Mean wingbeat frequency - highest of 29 North American species assayed</t>
  </si>
  <si>
    <t xml:space="preserve">Lab colony, USA, infrared sensor array, 23.0 +/- 0.5 degC (Kim et al. 2021)</t>
  </si>
  <si>
    <t xml:space="preserve">No major human disease-vector role identified</t>
  </si>
  <si>
    <t xml:space="preserve">None identified</t>
  </si>
  <si>
    <t xml:space="preserve">Statistically significantly different from all other 28 species assayed in this study (P&lt;=0.0001). Also less phototactically responsive to UV-LED attractant than vector Aedes/Anopheles species per the source paper.</t>
  </si>
  <si>
    <t xml:space="preserve">Source_Rows</t>
  </si>
  <si>
    <t xml:space="preserve">Rows_With_Frequency</t>
  </si>
  <si>
    <t xml:space="preserve">Lowest_Reported_Hz</t>
  </si>
  <si>
    <t xml:space="preserve">Highest_Reported_Hz</t>
  </si>
  <si>
    <t xml:space="preserve">Spread_Hz</t>
  </si>
  <si>
    <t xml:space="preserve">In_Versions</t>
  </si>
  <si>
    <t xml:space="preserve">v1 (33-row) + v2 (26-row)</t>
  </si>
  <si>
    <t xml:space="preserve">Min/max are drawn ONLY from the Freq_Min_Hz and Freq_Max_Hz columns on Consolidated. Rows carrying a single mean with no range contribute nothing here — check the Consolidated sheet for those. Blank means no range was reported for that species/sex in either source file.</t>
  </si>
  <si>
    <t xml:space="preserve">Source_ID</t>
  </si>
  <si>
    <t xml:space="preserve">Source_Name</t>
  </si>
  <si>
    <t xml:space="preserve">Source_Title</t>
  </si>
  <si>
    <t xml:space="preserve">URL</t>
  </si>
  <si>
    <t xml:space="preserve">Information_Used_For</t>
  </si>
  <si>
    <t xml:space="preserve">S01</t>
  </si>
  <si>
    <t xml:space="preserve">WHO</t>
  </si>
  <si>
    <t xml:space="preserve">Vector-borne diseases</t>
  </si>
  <si>
    <t xml:space="preserve">https://www.who.int/en/news-room/fact-sheets/detail/vector-borne-diseases</t>
  </si>
  <si>
    <t xml:space="preserve">Disease/vector genus-level associations</t>
  </si>
  <si>
    <t xml:space="preserve">S02</t>
  </si>
  <si>
    <t xml:space="preserve">CDC</t>
  </si>
  <si>
    <t xml:space="preserve">About Mosquitoes</t>
  </si>
  <si>
    <t xml:space="preserve">https://www.cdc.gov/mosquitoes/about/index.html</t>
  </si>
  <si>
    <t xml:space="preserve">General mosquito/vector fundamentals</t>
  </si>
  <si>
    <t xml:space="preserve">S03</t>
  </si>
  <si>
    <t xml:space="preserve">Mandal et al., Acta Tropica (2024)</t>
  </si>
  <si>
    <t xml:space="preserve">Surveillance of mosquitoes harnessing their buzzing sound</t>
  </si>
  <si>
    <t xml:space="preserve">https://pubmed.ncbi.nlm.nih.gov/38642695/</t>
  </si>
  <si>
    <t xml:space="preserve">India-based acoustic measurements across multiple mosquito species</t>
  </si>
  <si>
    <t xml:space="preserve">S04</t>
  </si>
  <si>
    <t xml:space="preserve">Annals of the Entomological Society of America</t>
  </si>
  <si>
    <t xml:space="preserve">Mosquito wingbeat frequency reference compilation</t>
  </si>
  <si>
    <t xml:space="preserve">Published male/female fundamental frequency values</t>
  </si>
  <si>
    <t xml:space="preserve">S05</t>
  </si>
  <si>
    <t xml:space="preserve">Scientific Reports (2021)</t>
  </si>
  <si>
    <t xml:space="preserve">Infrared light sensors permit rapid recording of wingbeat frequency and bioacoustic species identification of mosquitoes</t>
  </si>
  <si>
    <t xml:space="preserve">29-species acoustic dataset; demonstrates frequency overlap</t>
  </si>
  <si>
    <t xml:space="preserve">S06</t>
  </si>
  <si>
    <t xml:space="preserve">Scientific Reports (2025)</t>
  </si>
  <si>
    <t xml:space="preserve">India acoustic study on age/activity-related wingbeat variation</t>
  </si>
  <si>
    <t xml:space="preserve">https://www.nature.com/articles/s41598-025-89608-7</t>
  </si>
  <si>
    <t xml:space="preserve">Shows frequency changes with age/physiological state</t>
  </si>
  <si>
    <t xml:space="preserve">S07</t>
  </si>
  <si>
    <t xml:space="preserve">NCVBDC, Government of India</t>
  </si>
  <si>
    <t xml:space="preserve">Japanese encephalitis vector information</t>
  </si>
  <si>
    <t xml:space="preserve">Indian vector information for JE</t>
  </si>
  <si>
    <t xml:space="preserve">S08</t>
  </si>
  <si>
    <t xml:space="preserve">Malaria vector documentation</t>
  </si>
  <si>
    <t xml:space="preserve">https://www.ncvbdc.mohfw.gov.in/WriteReadData/l892s/5232542721532941542.pdf</t>
  </si>
  <si>
    <t xml:space="preserve">Indian malaria vector species</t>
  </si>
  <si>
    <t xml:space="preserve">S09</t>
  </si>
  <si>
    <t xml:space="preserve">Enhanced LF guideline (2024)</t>
  </si>
  <si>
    <t xml:space="preserve">https://ncvbdc.mohfw.gov.in/Doc/Guidelines/Fil/ELF-Guideline-2024.pdf</t>
  </si>
  <si>
    <t xml:space="preserve">Indian lymphatic filariasis vector information</t>
  </si>
  <si>
    <t xml:space="preserve">S10</t>
  </si>
  <si>
    <t xml:space="preserve">PubMed / vector competence literature</t>
  </si>
  <si>
    <t xml:space="preserve">Aedes vittatus vector competence</t>
  </si>
  <si>
    <t xml:space="preserve">https://pubmed.ncbi.nlm.nih.gov/34472507/</t>
  </si>
  <si>
    <t xml:space="preserve">Experimental vector competence context</t>
  </si>
  <si>
    <t xml:space="preserve">S1</t>
  </si>
  <si>
    <t xml:space="preserve">Acta Tropica (Elsevier)</t>
  </si>
  <si>
    <t xml:space="preserve">Female fundamental frequency (F0) for 9 of 19 Indian mosquito species named in the published abstract (full 19-species table is paywalled; not accessible in this pass)</t>
  </si>
  <si>
    <t xml:space="preserve">S2</t>
  </si>
  <si>
    <t xml:space="preserve">Scientific Reports</t>
  </si>
  <si>
    <t xml:space="preserve">Wingbeat frequency (mean) for Aedes aegypti, Culex quinquefasciatus (5 individuals), Culex restuans, Uranotaenia lowii; North American population, open-access full text</t>
  </si>
  <si>
    <t xml:space="preserve">S3</t>
  </si>
  <si>
    <t xml:space="preserve">Journal of Medical Entomology</t>
  </si>
  <si>
    <t xml:space="preserve">Behavioral observations and sound recordings of free-flight mating swarms of Aedes aegypti (Diptera: Culicidae) in Thailand</t>
  </si>
  <si>
    <t xml:space="preserve">Cited secondarily via Kim et al. 2021 (S2), reference 34 - primary article not directly fetched in this research pass</t>
  </si>
  <si>
    <t xml:space="preserve">Field-recorded Aedes aegypti flight tone, Thailand, higher ambient temperature (comparison value cited by S2)</t>
  </si>
  <si>
    <t xml:space="preserve">S4</t>
  </si>
  <si>
    <t xml:space="preserve">Journal of the Acoustical Society of America</t>
  </si>
  <si>
    <t xml:space="preserve">Mosquito (Aedes aegypti) flight tones: frequency, harmonicity, spherical spreading, and phase relationships</t>
  </si>
  <si>
    <t xml:space="preserve">https://pubs.aip.org/asa/jasa/article/135/2/933/973632/</t>
  </si>
  <si>
    <t xml:space="preserve">Qualitative confirmation that male Ae. aegypti fundamental frequency is higher than female and modulated over a wider range (exact Hz table not accessible - paywalled)</t>
  </si>
  <si>
    <t xml:space="preserve">S5</t>
  </si>
  <si>
    <t xml:space="preserve">arXiv preprint (NOT peer-reviewed)</t>
  </si>
  <si>
    <t xml:space="preserve">Free flight of the mosquito Aedes aegypti (preprint)</t>
  </si>
  <si>
    <t xml:space="preserve">Approximate male wingbeat frequency (~800 Hz) and female fundamental flight tone (~400 Hz used as playback stimulus) - LOW confidence, secondary/preprint source, included only because no peer-reviewed male Ae. aegypti Hz figure could be retrieved in this pass</t>
  </si>
  <si>
    <t xml:space="preserve">S6</t>
  </si>
  <si>
    <t xml:space="preserve">Indexed on PubMed Central; exact journal name not confirmed in this pass</t>
  </si>
  <si>
    <t xml:space="preserve">Monitoring of malaria, Japanese encephalitis and filariasis vectors (village/military-station mosquito survey, India)</t>
  </si>
  <si>
    <t xml:space="preserve">India-specific vector composition: malaria vectors (An. culicifacies, An. annularis, An. philippinensis/nivipes), JE vectors (An. barbirostris, Cx. bitaeniorhynchus, Cx. gelidus, Cx. vishnui gr.), filariasis+JE vectors (Cx. quinquefasciatus, Mansonia annulifera, Ma. uniformis), dengue vector (Ae. albopictus)</t>
  </si>
  <si>
    <t xml:space="preserve">S7</t>
  </si>
  <si>
    <t xml:space="preserve">Government of India, Ministry of Health &amp; Family Welfare</t>
  </si>
  <si>
    <t xml:space="preserve">NCVBDC official pages - Diseases / About Us</t>
  </si>
  <si>
    <t xml:space="preserve">https://ncvbdc.mohfw.gov.in/</t>
  </si>
  <si>
    <t xml:space="preserve">Confirmation of NVBDCP-administered diseases: Malaria, JE, Dengue, Chikungunya, Kala-azar, Lymphatic Filariasis</t>
  </si>
  <si>
    <t xml:space="preserve">S8</t>
  </si>
  <si>
    <t xml:space="preserve">Indexed on PubMed Central (journal name not confirmed in this pass)</t>
  </si>
  <si>
    <t xml:space="preserve">New strains of Japanese encephalitis virus circulating in Shanghai, China after a ten-year hiatus in local mosquito surveillance</t>
  </si>
  <si>
    <t xml:space="preserve">https://www.ncbi.nlm.nih.gov/pmc/articles/PMC6327439/</t>
  </si>
  <si>
    <t xml:space="preserve">Field JEV-positive pools detected in Culex tritaeniorhynchus and Culex pipiens pallens (China, not India - used as general evidence of JEV vector competence/field infection, not India-specific)</t>
  </si>
  <si>
    <t xml:space="preserve">S9</t>
  </si>
  <si>
    <t xml:space="preserve">Vector competence of Anopheles and Culex mosquitoes for Zika virus</t>
  </si>
  <si>
    <t xml:space="preserve">https://www.ncbi.nlm.nih.gov/pmc/articles/PMC5354110/</t>
  </si>
  <si>
    <t xml:space="preserve">Experimental finding: An. gambiae, An. stephensi and Cx. quinquefasciatus were refractory to Zika virus infection (i.e., NOT competent vectors of Zika)</t>
  </si>
  <si>
    <t xml:space="preserve">Elsevier ScienceDirect Topics</t>
  </si>
  <si>
    <t xml:space="preserve">Anopheles Gambiae - an overview (topic page)</t>
  </si>
  <si>
    <t xml:space="preserve">https://www.sciencedirect.com/topics/immunology-and-microbiology/anopheles-gambiae</t>
  </si>
  <si>
    <t xml:space="preserve">General confirmation that Culex quinquefasciatus is a recognized vector of West Nile/other encephalitis viruses and lymphatic filariasis - LOWER reliability (tertiary/topic-summary source, not a primary study)</t>
  </si>
  <si>
    <t xml:space="preserve">S11</t>
  </si>
  <si>
    <t xml:space="preserve">Emerging Infectious Diseases (CDC)</t>
  </si>
  <si>
    <t xml:space="preserve">Anopheles stephensi Mosquitoes as Vectors of Plasmodium vivax and falciparum, Horn of Africa, 2019</t>
  </si>
  <si>
    <t xml:space="preserve">Confirmed field detection of P. vivax and P. falciparum in wild-caught Anopheles stephensi (Ethiopia) - establishes vector competence outside India but consistent with its role as a primary urban malaria vector</t>
  </si>
  <si>
    <t xml:space="preserve">S12</t>
  </si>
  <si>
    <t xml:space="preserve">PNAS (Proceedings of the National Academy of Sciences)</t>
  </si>
  <si>
    <t xml:space="preserve">A new malaria vector in Africa: Predicting the expansion range of Anopheles stephensi and identifying the urban populations at risk</t>
  </si>
  <si>
    <t xml:space="preserve">https://www.pnas.org/doi/10.1073/pnas.2003976117</t>
  </si>
  <si>
    <t xml:space="preserve">Confirms An. stephensi as an established urban malaria vector, and cites Tamil Nadu, India breeding-site literature</t>
  </si>
  <si>
    <t xml:space="preserve">S13</t>
  </si>
  <si>
    <t xml:space="preserve">Lymphatic filariasis, infection status in Culex quinquefasciatus and Anopheles species after six rounds of mass drug administration in Masasi District, Tanzania</t>
  </si>
  <si>
    <t xml:space="preserve">https://www.ncbi.nlm.nih.gov/pmc/articles/PMC7919328/</t>
  </si>
  <si>
    <t xml:space="preserve">Confirms Cx. quinquefasciatus as dominant filarial vector (99.2% of vector mosquitoes collected) and PCR-positive for Wuchereria bancrofti - Tanzania, not India, used as general vector-competence evidence</t>
  </si>
  <si>
    <t xml:space="preserve">VectorGate — consolidated mosquito acoustic reference</t>
  </si>
  <si>
    <t xml:space="preserve">1. What the five uploaded files actually were</t>
  </si>
  <si>
    <t xml:space="preserve">mosquito_acoustic_disease_reference.xlsx and __1_.xlsx are byte-for-byte identical duplicates (same MD5). The .csv of the same name is just the Mosquito_Dataset sheet of that workbook exported. So three of the five files are one dataset: 33 rows, 15 columns. Call it v1.</t>
  </si>
  <si>
    <t xml:space="preserve">mosquito_acoustic_disease_reference__2_.xlsx and its .csv are the other dataset: 26 rows, 28 columns. Call it v2.</t>
  </si>
  <si>
    <t xml:space="preserve">Only 11 species/sex combinations appear in both. v1 has 22 combinations v2 lacks; v2 has 13 v1 lacks.</t>
  </si>
  <si>
    <t xml:space="preserve">2. How v1 and v2 differ</t>
  </si>
  <si>
    <t xml:space="preserve">v1 is broader but thinly sourced. It covers African and American vectors (An. gambiae, An. arabiensis, An. darlingi, Cx. tarsalis) and gives a numeric frequency for every single row. But most rows cite the same generic review URL, there are no DOIs, PMIDs or study years, and no measurement conditions. The numbers look like values compiled from a secondary review rather than traced to a primary measurement.</t>
  </si>
  <si>
    <t xml:space="preserve">v2 is narrower but far better sourced. It carries DOI, PMID, study year, measurement conditions, frequency type (fundamental vs mean wingbeat), geographic context and an explicit India_Relevance column. It also refuses to guess: 12 of its 26 rows say "Not found" for frequency and "Not reported" for sex rather than filling a plausible number.</t>
  </si>
  <si>
    <t xml:space="preserve">Where they overlap they disagree, and the disagreement is real rather than an error. Aedes aegypti female appears as 460-664 Hz in v1 and as three separate source-specific rows in v2: 463.07 Hz (India, Mandal 2024), 498.1 Hz (US lab colony at 23 C, Kim 2021) and 664.0 Hz (Thailand free-flight swarm at 32.6 C, Cator 2011). None is wrong. They are different populations under different conditions measured different ways.</t>
  </si>
  <si>
    <t xml:space="preserve">3. What this consolidated file does</t>
  </si>
  <si>
    <t xml:space="preserve">Consolidated sheet: every row from both versions, normalised onto one column set, with a From_Version column so you can always tell which file a row came from, and a Has_Frequency flag (highlighted amber where No). Source-specific rows are deliberately NOT averaged together — that would destroy the information described above.</t>
  </si>
  <si>
    <t xml:space="preserve">Species_Summary sheet: per species and sex, how many source rows exist, how many carry a frequency, and the lowest and highest reported bounds. Computed with formulas off the Consolidated sheet, so it updates if you add rows.</t>
  </si>
  <si>
    <t xml:space="preserve">Sources sheet: the citation lists from both workbooks, merged and tagged by version.</t>
  </si>
  <si>
    <t xml:space="preserve">4. Can you train a classifier on this? No.</t>
  </si>
  <si>
    <t xml:space="preserve">This is a reference table of published summary statistics — roughly one number per species per study. There are fewer than 60 rows in total and no raw recordings. A machine-learning model needs many labelled examples per class; you have at most a handful of point values per species, and for several species none at all.</t>
  </si>
  <si>
    <t xml:space="preserve">What this file IS good for: (a) sanity-checking that a frequency your node measures falls in a biologically plausible band; (b) defining the frequency range your hardware must cover, which from this data is roughly 250 Hz to 1000 Hz; (c) evidencing the overlap argument on your Innovation slide with specific numbers; (d) as the species/disease lookup your dashboard uses once a classification exists.</t>
  </si>
  <si>
    <t xml:space="preserve">5. Where to get actual training data</t>
  </si>
  <si>
    <t xml:space="preserve">Wingbeats (Kaggle) — large set of mosquito wingbeat recordings across several species, the usual starting point for this task. Abuzz / Stanford mosquito acoustic dataset — phone-recorded flight tones with species labels. HumBug (University of Oxford) — field and lab recordings built specifically for acoustic mosquito surveillance. Mandal et al. 2024 (Acta Tropica) — the India study behind many v2 rows; worth requesting the full text through your VIT library for its 19-species table.</t>
  </si>
  <si>
    <t xml:space="preserve">Note that all of these are ACOUSTIC (microphone) recordings, while VectorGate is OPTICAL. The underlying wingbeat frequency and harmonic structure are the same physical phenomenon, so the features transfer reasonably, but the waveform shape and noise characteristics differ. Say this out loud to judges rather than letting them find it.</t>
  </si>
  <si>
    <t xml:space="preserve">6. The number worth quoting on your Innovation slide</t>
  </si>
  <si>
    <t xml:space="preserve">From the v2 readme, citing Kim et al. 2021: of 29 North American mosquito species assayed, 26 had wingbeat-frequency distributions overlapping at least one other species. Only three were statistically separable from all others. And Mandal et al. 2024 reached about 97.7% identification accuracy only by combining fundamental frequency with harmonic-band count and their ratio — best single-feature accuracy was lower.</t>
  </si>
  <si>
    <t xml:space="preserve">That is the strongest evidence you have for the multi-feature argument, and it comes from the literature rather than from you. Verify both figures against the primary papers before putting them on a slide.</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</si>
</sst>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i val="true"/>
      <sz val="9"/>
      <name val="Arial"/>
      <family val="0"/>
      <charset val="1"/>
    </font>
    <font>
      <b val="true"/>
      <sz val="14"/>
      <color rgb="FF1F3864"/>
      <name val="Arial"/>
      <family val="0"/>
      <charset val="1"/>
    </font>
    <font>
      <b val="true"/>
      <sz val="11"/>
      <color rgb="FF1F3864"/>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EDF2F8"/>
        <bgColor rgb="FFFFFFFF"/>
      </patternFill>
    </fill>
    <fill>
      <patternFill patternType="solid">
        <fgColor rgb="FFFFF2CC"/>
        <bgColor rgb="FFEDF2F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fgColor rgb="FFEDF2F8"/>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F2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14"/>
    <col collapsed="false" customWidth="true" hidden="false" outlineLevel="0" max="5" min="4" style="0" width="12"/>
    <col collapsed="false" customWidth="true" hidden="false" outlineLevel="0" max="7" min="6" style="0" width="11"/>
    <col collapsed="false" customWidth="true" hidden="false" outlineLevel="0" max="8" min="8" style="0" width="12"/>
    <col collapsed="false" customWidth="true" hidden="false" outlineLevel="0" max="9" min="9" style="0" width="11"/>
    <col collapsed="false" customWidth="true" hidden="false" outlineLevel="0" max="10" min="10" style="0" width="26"/>
    <col collapsed="false" customWidth="true" hidden="false" outlineLevel="0" max="11" min="11" style="0" width="28"/>
    <col collapsed="false" customWidth="true" hidden="false" outlineLevel="0" max="12" min="12" style="0" width="20"/>
    <col collapsed="false" customWidth="true" hidden="false" outlineLevel="0" max="14" min="13" style="0" width="34"/>
    <col collapsed="false" customWidth="true" hidden="false" outlineLevel="0" max="15" min="15" style="0" width="13"/>
    <col collapsed="false" customWidth="true" hidden="false" outlineLevel="0" max="16" min="16" style="0" width="30"/>
    <col collapsed="false" customWidth="true" hidden="false" outlineLevel="0" max="17" min="17" style="0" width="12"/>
    <col collapsed="false" customWidth="true" hidden="false" outlineLevel="0" max="18" min="18" style="0" width="14"/>
    <col collapsed="false" customWidth="true" hidden="false" outlineLevel="0" max="19" min="19" style="0" width="34"/>
    <col collapsed="false" customWidth="true" hidden="false" outlineLevel="0" max="20" min="20" style="0" width="14"/>
    <col collapsed="false" customWidth="true" hidden="false" outlineLevel="0" max="21" min="21" style="0" width="40"/>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ustomFormat="false" ht="23.85" hidden="false" customHeight="false" outlineLevel="0" collapsed="false">
      <c r="A2" s="2" t="s">
        <v>21</v>
      </c>
      <c r="B2" s="2" t="s">
        <v>22</v>
      </c>
      <c r="C2" s="2" t="s">
        <v>23</v>
      </c>
      <c r="D2" s="2" t="s">
        <v>24</v>
      </c>
      <c r="E2" s="2" t="s">
        <v>25</v>
      </c>
      <c r="F2" s="2" t="n">
        <v>460</v>
      </c>
      <c r="G2" s="2" t="n">
        <v>664</v>
      </c>
      <c r="H2" s="2"/>
      <c r="I2" s="2"/>
      <c r="J2" s="2" t="s">
        <v>26</v>
      </c>
      <c r="K2" s="2" t="s">
        <v>27</v>
      </c>
      <c r="L2" s="2" t="s">
        <v>28</v>
      </c>
      <c r="M2" s="2" t="s">
        <v>29</v>
      </c>
      <c r="N2" s="2" t="s">
        <v>27</v>
      </c>
      <c r="O2" s="2" t="s">
        <v>30</v>
      </c>
      <c r="P2" s="2" t="s">
        <v>31</v>
      </c>
      <c r="Q2" s="2" t="s">
        <v>27</v>
      </c>
      <c r="R2" s="2" t="s">
        <v>27</v>
      </c>
      <c r="S2" s="2" t="s">
        <v>32</v>
      </c>
      <c r="T2" s="2" t="s">
        <v>33</v>
      </c>
      <c r="U2" s="2" t="s">
        <v>34</v>
      </c>
    </row>
    <row r="3" customFormat="false" ht="35.05" hidden="false" customHeight="false" outlineLevel="0" collapsed="false">
      <c r="A3" s="3" t="s">
        <v>35</v>
      </c>
      <c r="B3" s="3" t="s">
        <v>22</v>
      </c>
      <c r="C3" s="3" t="s">
        <v>23</v>
      </c>
      <c r="D3" s="3" t="s">
        <v>24</v>
      </c>
      <c r="E3" s="3" t="s">
        <v>25</v>
      </c>
      <c r="F3" s="3"/>
      <c r="G3" s="3"/>
      <c r="H3" s="3" t="n">
        <v>463.07</v>
      </c>
      <c r="I3" s="3" t="n">
        <v>3.22</v>
      </c>
      <c r="J3" s="3" t="s">
        <v>36</v>
      </c>
      <c r="K3" s="3" t="s">
        <v>37</v>
      </c>
      <c r="L3" s="3" t="s">
        <v>28</v>
      </c>
      <c r="M3" s="3" t="s">
        <v>29</v>
      </c>
      <c r="N3" s="3" t="s">
        <v>38</v>
      </c>
      <c r="O3" s="3" t="s">
        <v>39</v>
      </c>
      <c r="P3" s="3" t="s">
        <v>40</v>
      </c>
      <c r="Q3" s="3" t="s">
        <v>41</v>
      </c>
      <c r="R3" s="3" t="s">
        <v>42</v>
      </c>
      <c r="S3" s="3" t="s">
        <v>43</v>
      </c>
      <c r="T3" s="3" t="s">
        <v>44</v>
      </c>
      <c r="U3" s="3" t="s">
        <v>45</v>
      </c>
    </row>
    <row r="4" customFormat="false" ht="57.45" hidden="false" customHeight="false" outlineLevel="0" collapsed="false">
      <c r="A4" s="2" t="s">
        <v>46</v>
      </c>
      <c r="B4" s="2" t="s">
        <v>22</v>
      </c>
      <c r="C4" s="2" t="s">
        <v>23</v>
      </c>
      <c r="D4" s="2" t="s">
        <v>24</v>
      </c>
      <c r="E4" s="2" t="s">
        <v>25</v>
      </c>
      <c r="F4" s="2"/>
      <c r="G4" s="2"/>
      <c r="H4" s="2" t="n">
        <v>498.1</v>
      </c>
      <c r="I4" s="2"/>
      <c r="J4" s="2" t="s">
        <v>47</v>
      </c>
      <c r="K4" s="2" t="s">
        <v>48</v>
      </c>
      <c r="L4" s="2" t="s">
        <v>28</v>
      </c>
      <c r="M4" s="2" t="s">
        <v>29</v>
      </c>
      <c r="N4" s="2" t="s">
        <v>49</v>
      </c>
      <c r="O4" s="2" t="s">
        <v>39</v>
      </c>
      <c r="P4" s="2" t="s">
        <v>50</v>
      </c>
      <c r="Q4" s="2" t="s">
        <v>51</v>
      </c>
      <c r="R4" s="2" t="s">
        <v>52</v>
      </c>
      <c r="S4" s="2" t="s">
        <v>53</v>
      </c>
      <c r="T4" s="2" t="s">
        <v>44</v>
      </c>
      <c r="U4" s="2" t="s">
        <v>54</v>
      </c>
    </row>
    <row r="5" customFormat="false" ht="68.65" hidden="false" customHeight="false" outlineLevel="0" collapsed="false">
      <c r="A5" s="3" t="s">
        <v>55</v>
      </c>
      <c r="B5" s="3" t="s">
        <v>22</v>
      </c>
      <c r="C5" s="3" t="s">
        <v>23</v>
      </c>
      <c r="D5" s="3" t="s">
        <v>24</v>
      </c>
      <c r="E5" s="3" t="s">
        <v>25</v>
      </c>
      <c r="F5" s="3"/>
      <c r="G5" s="3"/>
      <c r="H5" s="3" t="n">
        <v>664</v>
      </c>
      <c r="I5" s="3"/>
      <c r="J5" s="3" t="s">
        <v>56</v>
      </c>
      <c r="K5" s="3" t="s">
        <v>57</v>
      </c>
      <c r="L5" s="3" t="s">
        <v>28</v>
      </c>
      <c r="M5" s="3" t="s">
        <v>29</v>
      </c>
      <c r="N5" s="3" t="s">
        <v>58</v>
      </c>
      <c r="O5" s="3" t="s">
        <v>59</v>
      </c>
      <c r="P5" s="3" t="s">
        <v>60</v>
      </c>
      <c r="Q5" s="3" t="s">
        <v>61</v>
      </c>
      <c r="R5" s="3" t="s">
        <v>62</v>
      </c>
      <c r="S5" s="3" t="s">
        <v>63</v>
      </c>
      <c r="T5" s="3" t="s">
        <v>44</v>
      </c>
      <c r="U5" s="3" t="s">
        <v>64</v>
      </c>
    </row>
    <row r="6" customFormat="false" ht="23.85" hidden="false" customHeight="false" outlineLevel="0" collapsed="false">
      <c r="A6" s="2" t="s">
        <v>65</v>
      </c>
      <c r="B6" s="2" t="s">
        <v>22</v>
      </c>
      <c r="C6" s="2" t="s">
        <v>23</v>
      </c>
      <c r="D6" s="2" t="s">
        <v>66</v>
      </c>
      <c r="E6" s="2" t="s">
        <v>25</v>
      </c>
      <c r="F6" s="2" t="n">
        <v>711</v>
      </c>
      <c r="G6" s="2" t="n">
        <v>982</v>
      </c>
      <c r="H6" s="2"/>
      <c r="I6" s="2"/>
      <c r="J6" s="2" t="s">
        <v>67</v>
      </c>
      <c r="K6" s="2" t="s">
        <v>27</v>
      </c>
      <c r="L6" s="2" t="s">
        <v>28</v>
      </c>
      <c r="M6" s="2" t="s">
        <v>29</v>
      </c>
      <c r="N6" s="2" t="s">
        <v>27</v>
      </c>
      <c r="O6" s="2" t="s">
        <v>30</v>
      </c>
      <c r="P6" s="2" t="s">
        <v>31</v>
      </c>
      <c r="Q6" s="2" t="s">
        <v>27</v>
      </c>
      <c r="R6" s="2" t="s">
        <v>27</v>
      </c>
      <c r="S6" s="2" t="s">
        <v>32</v>
      </c>
      <c r="T6" s="2" t="s">
        <v>33</v>
      </c>
      <c r="U6" s="2" t="s">
        <v>68</v>
      </c>
    </row>
    <row r="7" customFormat="false" ht="91" hidden="false" customHeight="false" outlineLevel="0" collapsed="false">
      <c r="A7" s="3" t="s">
        <v>69</v>
      </c>
      <c r="B7" s="3" t="s">
        <v>22</v>
      </c>
      <c r="C7" s="3" t="s">
        <v>23</v>
      </c>
      <c r="D7" s="3" t="s">
        <v>66</v>
      </c>
      <c r="E7" s="3" t="s">
        <v>25</v>
      </c>
      <c r="F7" s="3"/>
      <c r="G7" s="3"/>
      <c r="H7" s="3" t="n">
        <v>800</v>
      </c>
      <c r="I7" s="3"/>
      <c r="J7" s="3" t="s">
        <v>70</v>
      </c>
      <c r="K7" s="3" t="s">
        <v>71</v>
      </c>
      <c r="L7" s="3" t="s">
        <v>28</v>
      </c>
      <c r="M7" s="3" t="s">
        <v>72</v>
      </c>
      <c r="N7" s="3" t="s">
        <v>58</v>
      </c>
      <c r="O7" s="3" t="s">
        <v>73</v>
      </c>
      <c r="P7" s="3" t="s">
        <v>74</v>
      </c>
      <c r="Q7" s="3" t="s">
        <v>75</v>
      </c>
      <c r="R7" s="3" t="s">
        <v>76</v>
      </c>
      <c r="S7" s="3" t="s">
        <v>77</v>
      </c>
      <c r="T7" s="3" t="s">
        <v>44</v>
      </c>
      <c r="U7" s="3" t="s">
        <v>78</v>
      </c>
    </row>
    <row r="8" customFormat="false" ht="23.85" hidden="false" customHeight="false" outlineLevel="0" collapsed="false">
      <c r="A8" s="2" t="s">
        <v>79</v>
      </c>
      <c r="B8" s="2" t="s">
        <v>80</v>
      </c>
      <c r="C8" s="2" t="s">
        <v>23</v>
      </c>
      <c r="D8" s="2" t="s">
        <v>24</v>
      </c>
      <c r="E8" s="2" t="s">
        <v>25</v>
      </c>
      <c r="F8" s="2" t="n">
        <v>462</v>
      </c>
      <c r="G8" s="2" t="n">
        <v>544</v>
      </c>
      <c r="H8" s="2"/>
      <c r="I8" s="2"/>
      <c r="J8" s="2" t="s">
        <v>26</v>
      </c>
      <c r="K8" s="2" t="s">
        <v>27</v>
      </c>
      <c r="L8" s="2" t="s">
        <v>28</v>
      </c>
      <c r="M8" s="2" t="s">
        <v>81</v>
      </c>
      <c r="N8" s="2" t="s">
        <v>27</v>
      </c>
      <c r="O8" s="2" t="s">
        <v>30</v>
      </c>
      <c r="P8" s="2" t="s">
        <v>31</v>
      </c>
      <c r="Q8" s="2" t="s">
        <v>27</v>
      </c>
      <c r="R8" s="2" t="s">
        <v>27</v>
      </c>
      <c r="S8" s="2" t="s">
        <v>32</v>
      </c>
      <c r="T8" s="2" t="s">
        <v>33</v>
      </c>
      <c r="U8" s="2" t="s">
        <v>82</v>
      </c>
    </row>
    <row r="9" customFormat="false" ht="57.45" hidden="false" customHeight="false" outlineLevel="0" collapsed="false">
      <c r="A9" s="3" t="s">
        <v>83</v>
      </c>
      <c r="B9" s="3" t="s">
        <v>80</v>
      </c>
      <c r="C9" s="3" t="s">
        <v>23</v>
      </c>
      <c r="D9" s="3" t="s">
        <v>24</v>
      </c>
      <c r="E9" s="3" t="s">
        <v>25</v>
      </c>
      <c r="F9" s="3"/>
      <c r="G9" s="3"/>
      <c r="H9" s="3" t="n">
        <v>510.9</v>
      </c>
      <c r="I9" s="3" t="n">
        <v>22.03</v>
      </c>
      <c r="J9" s="3" t="s">
        <v>36</v>
      </c>
      <c r="K9" s="3" t="s">
        <v>84</v>
      </c>
      <c r="L9" s="3" t="s">
        <v>85</v>
      </c>
      <c r="M9" s="3" t="s">
        <v>86</v>
      </c>
      <c r="N9" s="3" t="s">
        <v>87</v>
      </c>
      <c r="O9" s="3" t="s">
        <v>39</v>
      </c>
      <c r="P9" s="3" t="s">
        <v>40</v>
      </c>
      <c r="Q9" s="3" t="s">
        <v>41</v>
      </c>
      <c r="R9" s="3" t="s">
        <v>42</v>
      </c>
      <c r="S9" s="3" t="s">
        <v>43</v>
      </c>
      <c r="T9" s="3" t="s">
        <v>44</v>
      </c>
      <c r="U9" s="3" t="s">
        <v>88</v>
      </c>
    </row>
    <row r="10" customFormat="false" ht="23.85" hidden="false" customHeight="false" outlineLevel="0" collapsed="false">
      <c r="A10" s="2" t="s">
        <v>89</v>
      </c>
      <c r="B10" s="2" t="s">
        <v>80</v>
      </c>
      <c r="C10" s="2" t="s">
        <v>23</v>
      </c>
      <c r="D10" s="2" t="s">
        <v>66</v>
      </c>
      <c r="E10" s="2" t="s">
        <v>25</v>
      </c>
      <c r="F10" s="2" t="n">
        <v>724</v>
      </c>
      <c r="G10" s="2" t="n">
        <v>903</v>
      </c>
      <c r="H10" s="2"/>
      <c r="I10" s="2"/>
      <c r="J10" s="2" t="s">
        <v>67</v>
      </c>
      <c r="K10" s="2" t="s">
        <v>27</v>
      </c>
      <c r="L10" s="2" t="s">
        <v>28</v>
      </c>
      <c r="M10" s="2" t="s">
        <v>81</v>
      </c>
      <c r="N10" s="2" t="s">
        <v>27</v>
      </c>
      <c r="O10" s="2" t="s">
        <v>30</v>
      </c>
      <c r="P10" s="2" t="s">
        <v>90</v>
      </c>
      <c r="Q10" s="2" t="s">
        <v>27</v>
      </c>
      <c r="R10" s="2" t="s">
        <v>27</v>
      </c>
      <c r="S10" s="2" t="s">
        <v>32</v>
      </c>
      <c r="T10" s="2" t="s">
        <v>33</v>
      </c>
      <c r="U10" s="2" t="s">
        <v>91</v>
      </c>
    </row>
    <row r="11" customFormat="false" ht="35.05" hidden="false" customHeight="false" outlineLevel="0" collapsed="false">
      <c r="A11" s="3" t="s">
        <v>92</v>
      </c>
      <c r="B11" s="3" t="s">
        <v>93</v>
      </c>
      <c r="C11" s="3" t="s">
        <v>23</v>
      </c>
      <c r="D11" s="3" t="s">
        <v>24</v>
      </c>
      <c r="E11" s="3" t="s">
        <v>25</v>
      </c>
      <c r="F11" s="3" t="n">
        <v>567.51</v>
      </c>
      <c r="G11" s="3" t="n">
        <v>567.51</v>
      </c>
      <c r="H11" s="3" t="n">
        <v>567.51</v>
      </c>
      <c r="I11" s="3" t="n">
        <v>3.82</v>
      </c>
      <c r="J11" s="3" t="s">
        <v>94</v>
      </c>
      <c r="K11" s="3" t="s">
        <v>27</v>
      </c>
      <c r="L11" s="3" t="s">
        <v>95</v>
      </c>
      <c r="M11" s="3" t="s">
        <v>96</v>
      </c>
      <c r="N11" s="3" t="s">
        <v>27</v>
      </c>
      <c r="O11" s="3" t="s">
        <v>97</v>
      </c>
      <c r="P11" s="3" t="s">
        <v>98</v>
      </c>
      <c r="Q11" s="3" t="s">
        <v>27</v>
      </c>
      <c r="R11" s="3" t="s">
        <v>27</v>
      </c>
      <c r="S11" s="3" t="s">
        <v>99</v>
      </c>
      <c r="T11" s="3" t="s">
        <v>33</v>
      </c>
      <c r="U11" s="3" t="s">
        <v>100</v>
      </c>
    </row>
    <row r="12" customFormat="false" ht="79.85" hidden="false" customHeight="false" outlineLevel="0" collapsed="false">
      <c r="A12" s="2" t="s">
        <v>101</v>
      </c>
      <c r="B12" s="2" t="s">
        <v>93</v>
      </c>
      <c r="C12" s="2" t="s">
        <v>23</v>
      </c>
      <c r="D12" s="2" t="s">
        <v>24</v>
      </c>
      <c r="E12" s="2" t="s">
        <v>25</v>
      </c>
      <c r="F12" s="2"/>
      <c r="G12" s="2"/>
      <c r="H12" s="2" t="n">
        <v>567.51</v>
      </c>
      <c r="I12" s="2" t="n">
        <v>3.82</v>
      </c>
      <c r="J12" s="2" t="s">
        <v>36</v>
      </c>
      <c r="K12" s="2" t="s">
        <v>102</v>
      </c>
      <c r="L12" s="2" t="s">
        <v>103</v>
      </c>
      <c r="M12" s="2" t="s">
        <v>104</v>
      </c>
      <c r="N12" s="2" t="s">
        <v>105</v>
      </c>
      <c r="O12" s="2" t="s">
        <v>59</v>
      </c>
      <c r="P12" s="2" t="s">
        <v>40</v>
      </c>
      <c r="Q12" s="2" t="s">
        <v>41</v>
      </c>
      <c r="R12" s="2" t="s">
        <v>42</v>
      </c>
      <c r="S12" s="2" t="s">
        <v>43</v>
      </c>
      <c r="T12" s="2" t="s">
        <v>44</v>
      </c>
      <c r="U12" s="2" t="s">
        <v>106</v>
      </c>
    </row>
    <row r="13" customFormat="false" ht="23.85" hidden="false" customHeight="false" outlineLevel="0" collapsed="false">
      <c r="A13" s="3" t="s">
        <v>107</v>
      </c>
      <c r="B13" s="3" t="s">
        <v>108</v>
      </c>
      <c r="C13" s="3" t="s">
        <v>109</v>
      </c>
      <c r="D13" s="3" t="s">
        <v>24</v>
      </c>
      <c r="E13" s="3" t="s">
        <v>25</v>
      </c>
      <c r="F13" s="3" t="n">
        <v>369</v>
      </c>
      <c r="G13" s="3" t="n">
        <v>430</v>
      </c>
      <c r="H13" s="3"/>
      <c r="I13" s="3"/>
      <c r="J13" s="3" t="s">
        <v>67</v>
      </c>
      <c r="K13" s="3" t="s">
        <v>27</v>
      </c>
      <c r="L13" s="3" t="s">
        <v>28</v>
      </c>
      <c r="M13" s="3" t="s">
        <v>110</v>
      </c>
      <c r="N13" s="3" t="s">
        <v>27</v>
      </c>
      <c r="O13" s="3" t="s">
        <v>30</v>
      </c>
      <c r="P13" s="3" t="s">
        <v>90</v>
      </c>
      <c r="Q13" s="3" t="s">
        <v>27</v>
      </c>
      <c r="R13" s="3" t="s">
        <v>27</v>
      </c>
      <c r="S13" s="3" t="s">
        <v>32</v>
      </c>
      <c r="T13" s="3" t="s">
        <v>33</v>
      </c>
      <c r="U13" s="3" t="s">
        <v>111</v>
      </c>
    </row>
    <row r="14" customFormat="false" ht="23.85" hidden="false" customHeight="false" outlineLevel="0" collapsed="false">
      <c r="A14" s="2" t="s">
        <v>112</v>
      </c>
      <c r="B14" s="2" t="s">
        <v>108</v>
      </c>
      <c r="C14" s="2" t="s">
        <v>109</v>
      </c>
      <c r="D14" s="2" t="s">
        <v>66</v>
      </c>
      <c r="E14" s="2" t="s">
        <v>25</v>
      </c>
      <c r="F14" s="2" t="n">
        <v>524</v>
      </c>
      <c r="G14" s="2" t="n">
        <v>714</v>
      </c>
      <c r="H14" s="2"/>
      <c r="I14" s="2"/>
      <c r="J14" s="2" t="s">
        <v>67</v>
      </c>
      <c r="K14" s="2" t="s">
        <v>27</v>
      </c>
      <c r="L14" s="2" t="s">
        <v>28</v>
      </c>
      <c r="M14" s="2" t="s">
        <v>110</v>
      </c>
      <c r="N14" s="2" t="s">
        <v>27</v>
      </c>
      <c r="O14" s="2" t="s">
        <v>30</v>
      </c>
      <c r="P14" s="2" t="s">
        <v>90</v>
      </c>
      <c r="Q14" s="2" t="s">
        <v>27</v>
      </c>
      <c r="R14" s="2" t="s">
        <v>27</v>
      </c>
      <c r="S14" s="2" t="s">
        <v>32</v>
      </c>
      <c r="T14" s="2" t="s">
        <v>33</v>
      </c>
      <c r="U14" s="2" t="s">
        <v>113</v>
      </c>
    </row>
    <row r="15" customFormat="false" ht="35.05" hidden="false" customHeight="false" outlineLevel="0" collapsed="false">
      <c r="A15" s="3" t="s">
        <v>114</v>
      </c>
      <c r="B15" s="3" t="s">
        <v>115</v>
      </c>
      <c r="C15" s="3" t="s">
        <v>109</v>
      </c>
      <c r="D15" s="3" t="s">
        <v>116</v>
      </c>
      <c r="E15" s="4" t="s">
        <v>117</v>
      </c>
      <c r="F15" s="3"/>
      <c r="G15" s="3"/>
      <c r="H15" s="3"/>
      <c r="I15" s="3"/>
      <c r="J15" s="3" t="s">
        <v>104</v>
      </c>
      <c r="K15" s="3" t="s">
        <v>104</v>
      </c>
      <c r="L15" s="3" t="s">
        <v>85</v>
      </c>
      <c r="M15" s="3" t="s">
        <v>110</v>
      </c>
      <c r="N15" s="3" t="s">
        <v>118</v>
      </c>
      <c r="O15" s="3" t="s">
        <v>59</v>
      </c>
      <c r="P15" s="3" t="s">
        <v>119</v>
      </c>
      <c r="Q15" s="3" t="s">
        <v>61</v>
      </c>
      <c r="R15" s="3" t="s">
        <v>120</v>
      </c>
      <c r="S15" s="3" t="s">
        <v>121</v>
      </c>
      <c r="T15" s="3" t="s">
        <v>44</v>
      </c>
      <c r="U15" s="3" t="s">
        <v>122</v>
      </c>
    </row>
    <row r="16" customFormat="false" ht="23.85" hidden="false" customHeight="false" outlineLevel="0" collapsed="false">
      <c r="A16" s="2" t="s">
        <v>123</v>
      </c>
      <c r="B16" s="2" t="s">
        <v>124</v>
      </c>
      <c r="C16" s="2" t="s">
        <v>109</v>
      </c>
      <c r="D16" s="2" t="s">
        <v>24</v>
      </c>
      <c r="E16" s="2" t="s">
        <v>25</v>
      </c>
      <c r="F16" s="2" t="n">
        <v>489</v>
      </c>
      <c r="G16" s="2" t="n">
        <v>489</v>
      </c>
      <c r="H16" s="2" t="n">
        <v>489</v>
      </c>
      <c r="I16" s="2"/>
      <c r="J16" s="2" t="s">
        <v>125</v>
      </c>
      <c r="K16" s="2" t="s">
        <v>27</v>
      </c>
      <c r="L16" s="2" t="s">
        <v>28</v>
      </c>
      <c r="M16" s="2" t="s">
        <v>110</v>
      </c>
      <c r="N16" s="2" t="s">
        <v>27</v>
      </c>
      <c r="O16" s="2" t="s">
        <v>30</v>
      </c>
      <c r="P16" s="2" t="s">
        <v>90</v>
      </c>
      <c r="Q16" s="2" t="s">
        <v>27</v>
      </c>
      <c r="R16" s="2" t="s">
        <v>27</v>
      </c>
      <c r="S16" s="2" t="s">
        <v>32</v>
      </c>
      <c r="T16" s="2" t="s">
        <v>33</v>
      </c>
      <c r="U16" s="2" t="s">
        <v>126</v>
      </c>
    </row>
    <row r="17" customFormat="false" ht="23.85" hidden="false" customHeight="false" outlineLevel="0" collapsed="false">
      <c r="A17" s="3" t="s">
        <v>127</v>
      </c>
      <c r="B17" s="3" t="s">
        <v>124</v>
      </c>
      <c r="C17" s="3" t="s">
        <v>109</v>
      </c>
      <c r="D17" s="3" t="s">
        <v>66</v>
      </c>
      <c r="E17" s="3" t="s">
        <v>25</v>
      </c>
      <c r="F17" s="3" t="n">
        <v>763</v>
      </c>
      <c r="G17" s="3" t="n">
        <v>763</v>
      </c>
      <c r="H17" s="3" t="n">
        <v>763</v>
      </c>
      <c r="I17" s="3"/>
      <c r="J17" s="3" t="s">
        <v>125</v>
      </c>
      <c r="K17" s="3" t="s">
        <v>27</v>
      </c>
      <c r="L17" s="3" t="s">
        <v>28</v>
      </c>
      <c r="M17" s="3" t="s">
        <v>110</v>
      </c>
      <c r="N17" s="3" t="s">
        <v>27</v>
      </c>
      <c r="O17" s="3" t="s">
        <v>30</v>
      </c>
      <c r="P17" s="3" t="s">
        <v>90</v>
      </c>
      <c r="Q17" s="3" t="s">
        <v>27</v>
      </c>
      <c r="R17" s="3" t="s">
        <v>27</v>
      </c>
      <c r="S17" s="3" t="s">
        <v>32</v>
      </c>
      <c r="T17" s="3" t="s">
        <v>33</v>
      </c>
      <c r="U17" s="3" t="s">
        <v>128</v>
      </c>
    </row>
    <row r="18" customFormat="false" ht="35.05" hidden="false" customHeight="false" outlineLevel="0" collapsed="false">
      <c r="A18" s="2" t="s">
        <v>129</v>
      </c>
      <c r="B18" s="2" t="s">
        <v>130</v>
      </c>
      <c r="C18" s="2" t="s">
        <v>109</v>
      </c>
      <c r="D18" s="2" t="s">
        <v>116</v>
      </c>
      <c r="E18" s="4" t="s">
        <v>117</v>
      </c>
      <c r="F18" s="2"/>
      <c r="G18" s="2"/>
      <c r="H18" s="2"/>
      <c r="I18" s="2"/>
      <c r="J18" s="2" t="s">
        <v>104</v>
      </c>
      <c r="K18" s="2" t="s">
        <v>104</v>
      </c>
      <c r="L18" s="2" t="s">
        <v>85</v>
      </c>
      <c r="M18" s="2" t="s">
        <v>131</v>
      </c>
      <c r="N18" s="2" t="s">
        <v>132</v>
      </c>
      <c r="O18" s="2" t="s">
        <v>59</v>
      </c>
      <c r="P18" s="2" t="s">
        <v>119</v>
      </c>
      <c r="Q18" s="2" t="s">
        <v>61</v>
      </c>
      <c r="R18" s="2" t="s">
        <v>120</v>
      </c>
      <c r="S18" s="2" t="s">
        <v>121</v>
      </c>
      <c r="T18" s="2" t="s">
        <v>44</v>
      </c>
      <c r="U18" s="2" t="s">
        <v>122</v>
      </c>
    </row>
    <row r="19" customFormat="false" ht="35.05" hidden="false" customHeight="false" outlineLevel="0" collapsed="false">
      <c r="A19" s="3" t="s">
        <v>133</v>
      </c>
      <c r="B19" s="3" t="s">
        <v>134</v>
      </c>
      <c r="C19" s="3" t="s">
        <v>109</v>
      </c>
      <c r="D19" s="3" t="s">
        <v>24</v>
      </c>
      <c r="E19" s="3" t="s">
        <v>25</v>
      </c>
      <c r="F19" s="3" t="n">
        <v>295.29</v>
      </c>
      <c r="G19" s="3" t="n">
        <v>338.29</v>
      </c>
      <c r="H19" s="3" t="n">
        <v>320.27</v>
      </c>
      <c r="I19" s="3"/>
      <c r="J19" s="3" t="s">
        <v>135</v>
      </c>
      <c r="K19" s="3" t="s">
        <v>27</v>
      </c>
      <c r="L19" s="3" t="s">
        <v>136</v>
      </c>
      <c r="M19" s="3" t="s">
        <v>137</v>
      </c>
      <c r="N19" s="3" t="s">
        <v>27</v>
      </c>
      <c r="O19" s="3" t="s">
        <v>97</v>
      </c>
      <c r="P19" s="3" t="s">
        <v>138</v>
      </c>
      <c r="Q19" s="3" t="s">
        <v>27</v>
      </c>
      <c r="R19" s="3" t="s">
        <v>27</v>
      </c>
      <c r="S19" s="3" t="s">
        <v>139</v>
      </c>
      <c r="T19" s="3" t="s">
        <v>33</v>
      </c>
      <c r="U19" s="3" t="s">
        <v>140</v>
      </c>
    </row>
    <row r="20" customFormat="false" ht="35.05" hidden="false" customHeight="false" outlineLevel="0" collapsed="false">
      <c r="A20" s="2" t="s">
        <v>141</v>
      </c>
      <c r="B20" s="2" t="s">
        <v>142</v>
      </c>
      <c r="C20" s="2" t="s">
        <v>109</v>
      </c>
      <c r="D20" s="2" t="s">
        <v>116</v>
      </c>
      <c r="E20" s="4" t="s">
        <v>117</v>
      </c>
      <c r="F20" s="2"/>
      <c r="G20" s="2"/>
      <c r="H20" s="2"/>
      <c r="I20" s="2"/>
      <c r="J20" s="2" t="s">
        <v>104</v>
      </c>
      <c r="K20" s="2" t="s">
        <v>104</v>
      </c>
      <c r="L20" s="2" t="s">
        <v>85</v>
      </c>
      <c r="M20" s="2" t="s">
        <v>110</v>
      </c>
      <c r="N20" s="2" t="s">
        <v>143</v>
      </c>
      <c r="O20" s="2" t="s">
        <v>59</v>
      </c>
      <c r="P20" s="2" t="s">
        <v>119</v>
      </c>
      <c r="Q20" s="2" t="s">
        <v>61</v>
      </c>
      <c r="R20" s="2" t="s">
        <v>120</v>
      </c>
      <c r="S20" s="2" t="s">
        <v>121</v>
      </c>
      <c r="T20" s="2" t="s">
        <v>44</v>
      </c>
      <c r="U20" s="2" t="s">
        <v>122</v>
      </c>
    </row>
    <row r="21" customFormat="false" ht="35.05" hidden="false" customHeight="false" outlineLevel="0" collapsed="false">
      <c r="A21" s="3" t="s">
        <v>144</v>
      </c>
      <c r="B21" s="3" t="s">
        <v>145</v>
      </c>
      <c r="C21" s="3" t="s">
        <v>109</v>
      </c>
      <c r="D21" s="3" t="s">
        <v>24</v>
      </c>
      <c r="E21" s="3" t="s">
        <v>25</v>
      </c>
      <c r="F21" s="3" t="n">
        <v>269.09</v>
      </c>
      <c r="G21" s="3" t="n">
        <v>269.09</v>
      </c>
      <c r="H21" s="3" t="n">
        <v>269.09</v>
      </c>
      <c r="I21" s="3" t="n">
        <v>2.96</v>
      </c>
      <c r="J21" s="3" t="s">
        <v>94</v>
      </c>
      <c r="K21" s="3" t="s">
        <v>27</v>
      </c>
      <c r="L21" s="3" t="s">
        <v>136</v>
      </c>
      <c r="M21" s="3" t="s">
        <v>137</v>
      </c>
      <c r="N21" s="3" t="s">
        <v>27</v>
      </c>
      <c r="O21" s="3" t="s">
        <v>97</v>
      </c>
      <c r="P21" s="3" t="s">
        <v>146</v>
      </c>
      <c r="Q21" s="3" t="s">
        <v>27</v>
      </c>
      <c r="R21" s="3" t="s">
        <v>27</v>
      </c>
      <c r="S21" s="3" t="s">
        <v>99</v>
      </c>
      <c r="T21" s="3" t="s">
        <v>33</v>
      </c>
      <c r="U21" s="3" t="s">
        <v>140</v>
      </c>
    </row>
    <row r="22" customFormat="false" ht="46.25" hidden="false" customHeight="false" outlineLevel="0" collapsed="false">
      <c r="A22" s="2" t="s">
        <v>147</v>
      </c>
      <c r="B22" s="2" t="s">
        <v>145</v>
      </c>
      <c r="C22" s="2" t="s">
        <v>109</v>
      </c>
      <c r="D22" s="2" t="s">
        <v>24</v>
      </c>
      <c r="E22" s="2" t="s">
        <v>25</v>
      </c>
      <c r="F22" s="2"/>
      <c r="G22" s="2"/>
      <c r="H22" s="2" t="n">
        <v>269.09</v>
      </c>
      <c r="I22" s="2" t="n">
        <v>2.96</v>
      </c>
      <c r="J22" s="2" t="s">
        <v>36</v>
      </c>
      <c r="K22" s="2" t="s">
        <v>148</v>
      </c>
      <c r="L22" s="2" t="s">
        <v>103</v>
      </c>
      <c r="M22" s="2" t="s">
        <v>104</v>
      </c>
      <c r="N22" s="2" t="s">
        <v>105</v>
      </c>
      <c r="O22" s="2" t="s">
        <v>59</v>
      </c>
      <c r="P22" s="2" t="s">
        <v>40</v>
      </c>
      <c r="Q22" s="2" t="s">
        <v>41</v>
      </c>
      <c r="R22" s="2" t="s">
        <v>42</v>
      </c>
      <c r="S22" s="2" t="s">
        <v>43</v>
      </c>
      <c r="T22" s="2" t="s">
        <v>44</v>
      </c>
      <c r="U22" s="2" t="s">
        <v>88</v>
      </c>
    </row>
    <row r="23" customFormat="false" ht="23.85" hidden="false" customHeight="false" outlineLevel="0" collapsed="false">
      <c r="A23" s="3" t="s">
        <v>149</v>
      </c>
      <c r="B23" s="3" t="s">
        <v>150</v>
      </c>
      <c r="C23" s="3" t="s">
        <v>109</v>
      </c>
      <c r="D23" s="3" t="s">
        <v>24</v>
      </c>
      <c r="E23" s="3" t="s">
        <v>25</v>
      </c>
      <c r="F23" s="3" t="n">
        <v>362</v>
      </c>
      <c r="G23" s="3" t="n">
        <v>456</v>
      </c>
      <c r="H23" s="3"/>
      <c r="I23" s="3"/>
      <c r="J23" s="3" t="s">
        <v>67</v>
      </c>
      <c r="K23" s="3" t="s">
        <v>27</v>
      </c>
      <c r="L23" s="3" t="s">
        <v>28</v>
      </c>
      <c r="M23" s="3" t="s">
        <v>110</v>
      </c>
      <c r="N23" s="3" t="s">
        <v>27</v>
      </c>
      <c r="O23" s="3" t="s">
        <v>30</v>
      </c>
      <c r="P23" s="3" t="s">
        <v>90</v>
      </c>
      <c r="Q23" s="3" t="s">
        <v>27</v>
      </c>
      <c r="R23" s="3" t="s">
        <v>27</v>
      </c>
      <c r="S23" s="3" t="s">
        <v>32</v>
      </c>
      <c r="T23" s="3" t="s">
        <v>33</v>
      </c>
      <c r="U23" s="3" t="s">
        <v>151</v>
      </c>
    </row>
    <row r="24" customFormat="false" ht="23.85" hidden="false" customHeight="false" outlineLevel="0" collapsed="false">
      <c r="A24" s="2" t="s">
        <v>152</v>
      </c>
      <c r="B24" s="2" t="s">
        <v>150</v>
      </c>
      <c r="C24" s="2" t="s">
        <v>109</v>
      </c>
      <c r="D24" s="2" t="s">
        <v>66</v>
      </c>
      <c r="E24" s="2" t="s">
        <v>25</v>
      </c>
      <c r="F24" s="2" t="n">
        <v>553</v>
      </c>
      <c r="G24" s="2" t="n">
        <v>709</v>
      </c>
      <c r="H24" s="2"/>
      <c r="I24" s="2"/>
      <c r="J24" s="2" t="s">
        <v>67</v>
      </c>
      <c r="K24" s="2" t="s">
        <v>27</v>
      </c>
      <c r="L24" s="2" t="s">
        <v>28</v>
      </c>
      <c r="M24" s="2" t="s">
        <v>110</v>
      </c>
      <c r="N24" s="2" t="s">
        <v>27</v>
      </c>
      <c r="O24" s="2" t="s">
        <v>30</v>
      </c>
      <c r="P24" s="2" t="s">
        <v>90</v>
      </c>
      <c r="Q24" s="2" t="s">
        <v>27</v>
      </c>
      <c r="R24" s="2" t="s">
        <v>27</v>
      </c>
      <c r="S24" s="2" t="s">
        <v>32</v>
      </c>
      <c r="T24" s="2" t="s">
        <v>33</v>
      </c>
      <c r="U24" s="2" t="s">
        <v>113</v>
      </c>
    </row>
    <row r="25" customFormat="false" ht="35.05" hidden="false" customHeight="false" outlineLevel="0" collapsed="false">
      <c r="A25" s="3" t="s">
        <v>153</v>
      </c>
      <c r="B25" s="3" t="s">
        <v>154</v>
      </c>
      <c r="C25" s="3" t="s">
        <v>109</v>
      </c>
      <c r="D25" s="3" t="s">
        <v>24</v>
      </c>
      <c r="E25" s="3" t="s">
        <v>25</v>
      </c>
      <c r="F25" s="3" t="n">
        <v>461.87</v>
      </c>
      <c r="G25" s="3" t="n">
        <v>461.87</v>
      </c>
      <c r="H25" s="3" t="n">
        <v>461.87</v>
      </c>
      <c r="I25" s="3" t="n">
        <v>3.31</v>
      </c>
      <c r="J25" s="3" t="s">
        <v>94</v>
      </c>
      <c r="K25" s="3" t="s">
        <v>27</v>
      </c>
      <c r="L25" s="3" t="s">
        <v>136</v>
      </c>
      <c r="M25" s="3" t="s">
        <v>137</v>
      </c>
      <c r="N25" s="3" t="s">
        <v>27</v>
      </c>
      <c r="O25" s="3" t="s">
        <v>97</v>
      </c>
      <c r="P25" s="3" t="s">
        <v>146</v>
      </c>
      <c r="Q25" s="3" t="s">
        <v>27</v>
      </c>
      <c r="R25" s="3" t="s">
        <v>27</v>
      </c>
      <c r="S25" s="3" t="s">
        <v>99</v>
      </c>
      <c r="T25" s="3" t="s">
        <v>33</v>
      </c>
      <c r="U25" s="3" t="s">
        <v>140</v>
      </c>
    </row>
    <row r="26" customFormat="false" ht="35.05" hidden="false" customHeight="false" outlineLevel="0" collapsed="false">
      <c r="A26" s="2" t="s">
        <v>155</v>
      </c>
      <c r="B26" s="2" t="s">
        <v>154</v>
      </c>
      <c r="C26" s="2" t="s">
        <v>109</v>
      </c>
      <c r="D26" s="2" t="s">
        <v>24</v>
      </c>
      <c r="E26" s="2" t="s">
        <v>25</v>
      </c>
      <c r="F26" s="2"/>
      <c r="G26" s="2"/>
      <c r="H26" s="2" t="n">
        <v>461.87</v>
      </c>
      <c r="I26" s="2" t="n">
        <v>3.31</v>
      </c>
      <c r="J26" s="2" t="s">
        <v>36</v>
      </c>
      <c r="K26" s="2" t="s">
        <v>84</v>
      </c>
      <c r="L26" s="2" t="s">
        <v>103</v>
      </c>
      <c r="M26" s="2" t="s">
        <v>104</v>
      </c>
      <c r="N26" s="2" t="s">
        <v>105</v>
      </c>
      <c r="O26" s="2" t="s">
        <v>59</v>
      </c>
      <c r="P26" s="2" t="s">
        <v>40</v>
      </c>
      <c r="Q26" s="2" t="s">
        <v>41</v>
      </c>
      <c r="R26" s="2" t="s">
        <v>42</v>
      </c>
      <c r="S26" s="2" t="s">
        <v>43</v>
      </c>
      <c r="T26" s="2" t="s">
        <v>44</v>
      </c>
      <c r="U26" s="2" t="s">
        <v>88</v>
      </c>
    </row>
    <row r="27" customFormat="false" ht="113.4" hidden="false" customHeight="false" outlineLevel="0" collapsed="false">
      <c r="A27" s="3" t="s">
        <v>156</v>
      </c>
      <c r="B27" s="3" t="s">
        <v>157</v>
      </c>
      <c r="C27" s="3" t="s">
        <v>109</v>
      </c>
      <c r="D27" s="3" t="s">
        <v>116</v>
      </c>
      <c r="E27" s="4" t="s">
        <v>117</v>
      </c>
      <c r="F27" s="3"/>
      <c r="G27" s="3"/>
      <c r="H27" s="3"/>
      <c r="I27" s="3"/>
      <c r="J27" s="3" t="s">
        <v>104</v>
      </c>
      <c r="K27" s="3" t="s">
        <v>104</v>
      </c>
      <c r="L27" s="3" t="s">
        <v>28</v>
      </c>
      <c r="M27" s="3" t="s">
        <v>110</v>
      </c>
      <c r="N27" s="3" t="s">
        <v>158</v>
      </c>
      <c r="O27" s="3" t="s">
        <v>59</v>
      </c>
      <c r="P27" s="3" t="s">
        <v>159</v>
      </c>
      <c r="Q27" s="3" t="s">
        <v>120</v>
      </c>
      <c r="R27" s="3" t="s">
        <v>120</v>
      </c>
      <c r="S27" s="3" t="s">
        <v>160</v>
      </c>
      <c r="T27" s="3" t="s">
        <v>44</v>
      </c>
      <c r="U27" s="3" t="s">
        <v>161</v>
      </c>
    </row>
    <row r="28" customFormat="false" ht="23.85" hidden="false" customHeight="false" outlineLevel="0" collapsed="false">
      <c r="A28" s="2" t="s">
        <v>162</v>
      </c>
      <c r="B28" s="2" t="s">
        <v>163</v>
      </c>
      <c r="C28" s="2" t="s">
        <v>109</v>
      </c>
      <c r="D28" s="2" t="s">
        <v>24</v>
      </c>
      <c r="E28" s="2" t="s">
        <v>25</v>
      </c>
      <c r="F28" s="2" t="n">
        <v>490</v>
      </c>
      <c r="G28" s="2" t="n">
        <v>490</v>
      </c>
      <c r="H28" s="2" t="n">
        <v>490</v>
      </c>
      <c r="I28" s="2"/>
      <c r="J28" s="2" t="s">
        <v>125</v>
      </c>
      <c r="K28" s="2" t="s">
        <v>27</v>
      </c>
      <c r="L28" s="2" t="s">
        <v>28</v>
      </c>
      <c r="M28" s="2" t="s">
        <v>110</v>
      </c>
      <c r="N28" s="2" t="s">
        <v>27</v>
      </c>
      <c r="O28" s="2" t="s">
        <v>30</v>
      </c>
      <c r="P28" s="2" t="s">
        <v>90</v>
      </c>
      <c r="Q28" s="2" t="s">
        <v>27</v>
      </c>
      <c r="R28" s="2" t="s">
        <v>27</v>
      </c>
      <c r="S28" s="2" t="s">
        <v>32</v>
      </c>
      <c r="T28" s="2" t="s">
        <v>33</v>
      </c>
      <c r="U28" s="2" t="s">
        <v>164</v>
      </c>
    </row>
    <row r="29" customFormat="false" ht="23.85" hidden="false" customHeight="false" outlineLevel="0" collapsed="false">
      <c r="A29" s="3" t="s">
        <v>165</v>
      </c>
      <c r="B29" s="3" t="s">
        <v>163</v>
      </c>
      <c r="C29" s="3" t="s">
        <v>109</v>
      </c>
      <c r="D29" s="3" t="s">
        <v>66</v>
      </c>
      <c r="E29" s="3" t="s">
        <v>25</v>
      </c>
      <c r="F29" s="3" t="n">
        <v>779</v>
      </c>
      <c r="G29" s="3" t="n">
        <v>793</v>
      </c>
      <c r="H29" s="3"/>
      <c r="I29" s="3"/>
      <c r="J29" s="3" t="s">
        <v>67</v>
      </c>
      <c r="K29" s="3" t="s">
        <v>27</v>
      </c>
      <c r="L29" s="3" t="s">
        <v>28</v>
      </c>
      <c r="M29" s="3" t="s">
        <v>110</v>
      </c>
      <c r="N29" s="3" t="s">
        <v>27</v>
      </c>
      <c r="O29" s="3" t="s">
        <v>30</v>
      </c>
      <c r="P29" s="3" t="s">
        <v>90</v>
      </c>
      <c r="Q29" s="3" t="s">
        <v>27</v>
      </c>
      <c r="R29" s="3" t="s">
        <v>27</v>
      </c>
      <c r="S29" s="3" t="s">
        <v>32</v>
      </c>
      <c r="T29" s="3" t="s">
        <v>33</v>
      </c>
      <c r="U29" s="3" t="s">
        <v>166</v>
      </c>
    </row>
    <row r="30" customFormat="false" ht="35.05" hidden="false" customHeight="false" outlineLevel="0" collapsed="false">
      <c r="A30" s="2" t="s">
        <v>167</v>
      </c>
      <c r="B30" s="2" t="s">
        <v>168</v>
      </c>
      <c r="C30" s="2" t="s">
        <v>109</v>
      </c>
      <c r="D30" s="2" t="s">
        <v>116</v>
      </c>
      <c r="E30" s="4" t="s">
        <v>117</v>
      </c>
      <c r="F30" s="2"/>
      <c r="G30" s="2"/>
      <c r="H30" s="2"/>
      <c r="I30" s="2"/>
      <c r="J30" s="2" t="s">
        <v>104</v>
      </c>
      <c r="K30" s="2" t="s">
        <v>104</v>
      </c>
      <c r="L30" s="2" t="s">
        <v>85</v>
      </c>
      <c r="M30" s="2" t="s">
        <v>110</v>
      </c>
      <c r="N30" s="2" t="s">
        <v>169</v>
      </c>
      <c r="O30" s="2" t="s">
        <v>59</v>
      </c>
      <c r="P30" s="2" t="s">
        <v>119</v>
      </c>
      <c r="Q30" s="2" t="s">
        <v>61</v>
      </c>
      <c r="R30" s="2" t="s">
        <v>120</v>
      </c>
      <c r="S30" s="2" t="s">
        <v>121</v>
      </c>
      <c r="T30" s="2" t="s">
        <v>44</v>
      </c>
      <c r="U30" s="2" t="s">
        <v>122</v>
      </c>
    </row>
    <row r="31" customFormat="false" ht="23.85" hidden="false" customHeight="false" outlineLevel="0" collapsed="false">
      <c r="A31" s="3" t="s">
        <v>170</v>
      </c>
      <c r="B31" s="3" t="s">
        <v>171</v>
      </c>
      <c r="C31" s="3" t="s">
        <v>109</v>
      </c>
      <c r="D31" s="3" t="s">
        <v>24</v>
      </c>
      <c r="E31" s="3" t="s">
        <v>25</v>
      </c>
      <c r="F31" s="3" t="n">
        <v>423</v>
      </c>
      <c r="G31" s="3" t="n">
        <v>423</v>
      </c>
      <c r="H31" s="3" t="n">
        <v>423</v>
      </c>
      <c r="I31" s="3"/>
      <c r="J31" s="3" t="s">
        <v>125</v>
      </c>
      <c r="K31" s="3" t="s">
        <v>27</v>
      </c>
      <c r="L31" s="3" t="s">
        <v>28</v>
      </c>
      <c r="M31" s="3" t="s">
        <v>110</v>
      </c>
      <c r="N31" s="3" t="s">
        <v>27</v>
      </c>
      <c r="O31" s="3" t="s">
        <v>30</v>
      </c>
      <c r="P31" s="3" t="s">
        <v>172</v>
      </c>
      <c r="Q31" s="3" t="s">
        <v>27</v>
      </c>
      <c r="R31" s="3" t="s">
        <v>27</v>
      </c>
      <c r="S31" s="3" t="s">
        <v>32</v>
      </c>
      <c r="T31" s="3" t="s">
        <v>33</v>
      </c>
      <c r="U31" s="3" t="s">
        <v>173</v>
      </c>
    </row>
    <row r="32" customFormat="false" ht="23.85" hidden="false" customHeight="false" outlineLevel="0" collapsed="false">
      <c r="A32" s="2" t="s">
        <v>174</v>
      </c>
      <c r="B32" s="2" t="s">
        <v>171</v>
      </c>
      <c r="C32" s="2" t="s">
        <v>109</v>
      </c>
      <c r="D32" s="2" t="s">
        <v>66</v>
      </c>
      <c r="E32" s="2" t="s">
        <v>25</v>
      </c>
      <c r="F32" s="2" t="n">
        <v>640</v>
      </c>
      <c r="G32" s="2" t="n">
        <v>640</v>
      </c>
      <c r="H32" s="2" t="n">
        <v>640</v>
      </c>
      <c r="I32" s="2"/>
      <c r="J32" s="2" t="s">
        <v>125</v>
      </c>
      <c r="K32" s="2" t="s">
        <v>27</v>
      </c>
      <c r="L32" s="2" t="s">
        <v>28</v>
      </c>
      <c r="M32" s="2" t="s">
        <v>110</v>
      </c>
      <c r="N32" s="2" t="s">
        <v>27</v>
      </c>
      <c r="O32" s="2" t="s">
        <v>30</v>
      </c>
      <c r="P32" s="2" t="s">
        <v>90</v>
      </c>
      <c r="Q32" s="2" t="s">
        <v>27</v>
      </c>
      <c r="R32" s="2" t="s">
        <v>27</v>
      </c>
      <c r="S32" s="2" t="s">
        <v>32</v>
      </c>
      <c r="T32" s="2" t="s">
        <v>33</v>
      </c>
      <c r="U32" s="2" t="s">
        <v>128</v>
      </c>
    </row>
    <row r="33" customFormat="false" ht="102.2" hidden="false" customHeight="false" outlineLevel="0" collapsed="false">
      <c r="A33" s="3" t="s">
        <v>175</v>
      </c>
      <c r="B33" s="3" t="s">
        <v>171</v>
      </c>
      <c r="C33" s="3" t="s">
        <v>109</v>
      </c>
      <c r="D33" s="3" t="s">
        <v>116</v>
      </c>
      <c r="E33" s="4" t="s">
        <v>117</v>
      </c>
      <c r="F33" s="3"/>
      <c r="G33" s="3"/>
      <c r="H33" s="3"/>
      <c r="I33" s="3"/>
      <c r="J33" s="3" t="s">
        <v>104</v>
      </c>
      <c r="K33" s="3" t="s">
        <v>104</v>
      </c>
      <c r="L33" s="3" t="s">
        <v>28</v>
      </c>
      <c r="M33" s="3" t="s">
        <v>110</v>
      </c>
      <c r="N33" s="3" t="s">
        <v>176</v>
      </c>
      <c r="O33" s="3" t="s">
        <v>39</v>
      </c>
      <c r="P33" s="3" t="s">
        <v>119</v>
      </c>
      <c r="Q33" s="3" t="s">
        <v>51</v>
      </c>
      <c r="R33" s="3" t="s">
        <v>177</v>
      </c>
      <c r="S33" s="3" t="s">
        <v>178</v>
      </c>
      <c r="T33" s="3" t="s">
        <v>44</v>
      </c>
      <c r="U33" s="3" t="s">
        <v>179</v>
      </c>
    </row>
    <row r="34" customFormat="false" ht="35.05" hidden="false" customHeight="false" outlineLevel="0" collapsed="false">
      <c r="A34" s="2" t="s">
        <v>180</v>
      </c>
      <c r="B34" s="2" t="s">
        <v>181</v>
      </c>
      <c r="C34" s="2" t="s">
        <v>109</v>
      </c>
      <c r="D34" s="2" t="s">
        <v>24</v>
      </c>
      <c r="E34" s="2" t="s">
        <v>25</v>
      </c>
      <c r="F34" s="2" t="n">
        <v>445.46</v>
      </c>
      <c r="G34" s="2" t="n">
        <v>445.46</v>
      </c>
      <c r="H34" s="2" t="n">
        <v>445.46</v>
      </c>
      <c r="I34" s="2" t="n">
        <v>2.01</v>
      </c>
      <c r="J34" s="2" t="s">
        <v>94</v>
      </c>
      <c r="K34" s="2" t="s">
        <v>27</v>
      </c>
      <c r="L34" s="2" t="s">
        <v>182</v>
      </c>
      <c r="M34" s="2" t="s">
        <v>183</v>
      </c>
      <c r="N34" s="2" t="s">
        <v>27</v>
      </c>
      <c r="O34" s="2" t="s">
        <v>97</v>
      </c>
      <c r="P34" s="2" t="s">
        <v>184</v>
      </c>
      <c r="Q34" s="2" t="s">
        <v>27</v>
      </c>
      <c r="R34" s="2" t="s">
        <v>27</v>
      </c>
      <c r="S34" s="2" t="s">
        <v>99</v>
      </c>
      <c r="T34" s="2" t="s">
        <v>33</v>
      </c>
      <c r="U34" s="2" t="s">
        <v>185</v>
      </c>
    </row>
    <row r="35" customFormat="false" ht="79.85" hidden="false" customHeight="false" outlineLevel="0" collapsed="false">
      <c r="A35" s="3" t="s">
        <v>186</v>
      </c>
      <c r="B35" s="3" t="s">
        <v>181</v>
      </c>
      <c r="C35" s="3" t="s">
        <v>109</v>
      </c>
      <c r="D35" s="3" t="s">
        <v>24</v>
      </c>
      <c r="E35" s="3" t="s">
        <v>25</v>
      </c>
      <c r="F35" s="3"/>
      <c r="G35" s="3"/>
      <c r="H35" s="3" t="n">
        <v>445.46</v>
      </c>
      <c r="I35" s="3" t="n">
        <v>2.01</v>
      </c>
      <c r="J35" s="3" t="s">
        <v>36</v>
      </c>
      <c r="K35" s="3" t="s">
        <v>84</v>
      </c>
      <c r="L35" s="3" t="s">
        <v>103</v>
      </c>
      <c r="M35" s="3" t="s">
        <v>104</v>
      </c>
      <c r="N35" s="3" t="s">
        <v>187</v>
      </c>
      <c r="O35" s="3" t="s">
        <v>59</v>
      </c>
      <c r="P35" s="3" t="s">
        <v>40</v>
      </c>
      <c r="Q35" s="3" t="s">
        <v>41</v>
      </c>
      <c r="R35" s="3" t="s">
        <v>42</v>
      </c>
      <c r="S35" s="3" t="s">
        <v>43</v>
      </c>
      <c r="T35" s="3" t="s">
        <v>44</v>
      </c>
      <c r="U35" s="3" t="s">
        <v>88</v>
      </c>
    </row>
    <row r="36" customFormat="false" ht="35.05" hidden="false" customHeight="false" outlineLevel="0" collapsed="false">
      <c r="A36" s="2" t="s">
        <v>188</v>
      </c>
      <c r="B36" s="2" t="s">
        <v>189</v>
      </c>
      <c r="C36" s="2" t="s">
        <v>190</v>
      </c>
      <c r="D36" s="2" t="s">
        <v>24</v>
      </c>
      <c r="E36" s="2" t="s">
        <v>25</v>
      </c>
      <c r="F36" s="2" t="n">
        <v>347.47</v>
      </c>
      <c r="G36" s="2" t="n">
        <v>369.64</v>
      </c>
      <c r="H36" s="2" t="n">
        <v>358.21</v>
      </c>
      <c r="I36" s="2"/>
      <c r="J36" s="2" t="s">
        <v>135</v>
      </c>
      <c r="K36" s="2" t="s">
        <v>27</v>
      </c>
      <c r="L36" s="2" t="s">
        <v>95</v>
      </c>
      <c r="M36" s="2" t="s">
        <v>191</v>
      </c>
      <c r="N36" s="2" t="s">
        <v>27</v>
      </c>
      <c r="O36" s="2" t="s">
        <v>97</v>
      </c>
      <c r="P36" s="2" t="s">
        <v>192</v>
      </c>
      <c r="Q36" s="2" t="s">
        <v>27</v>
      </c>
      <c r="R36" s="2" t="s">
        <v>27</v>
      </c>
      <c r="S36" s="2" t="s">
        <v>139</v>
      </c>
      <c r="T36" s="2" t="s">
        <v>33</v>
      </c>
      <c r="U36" s="2" t="s">
        <v>193</v>
      </c>
    </row>
    <row r="37" customFormat="false" ht="35.05" hidden="false" customHeight="false" outlineLevel="0" collapsed="false">
      <c r="A37" s="3" t="s">
        <v>194</v>
      </c>
      <c r="B37" s="3" t="s">
        <v>195</v>
      </c>
      <c r="C37" s="3" t="s">
        <v>196</v>
      </c>
      <c r="D37" s="3" t="s">
        <v>24</v>
      </c>
      <c r="E37" s="3" t="s">
        <v>25</v>
      </c>
      <c r="F37" s="3" t="n">
        <v>539.44</v>
      </c>
      <c r="G37" s="3" t="n">
        <v>539.44</v>
      </c>
      <c r="H37" s="3" t="n">
        <v>539.44</v>
      </c>
      <c r="I37" s="3" t="n">
        <v>0.63</v>
      </c>
      <c r="J37" s="3" t="s">
        <v>94</v>
      </c>
      <c r="K37" s="3" t="s">
        <v>27</v>
      </c>
      <c r="L37" s="3" t="s">
        <v>136</v>
      </c>
      <c r="M37" s="3" t="s">
        <v>137</v>
      </c>
      <c r="N37" s="3" t="s">
        <v>27</v>
      </c>
      <c r="O37" s="3" t="s">
        <v>97</v>
      </c>
      <c r="P37" s="3" t="s">
        <v>146</v>
      </c>
      <c r="Q37" s="3" t="s">
        <v>27</v>
      </c>
      <c r="R37" s="3" t="s">
        <v>27</v>
      </c>
      <c r="S37" s="3" t="s">
        <v>99</v>
      </c>
      <c r="T37" s="3" t="s">
        <v>33</v>
      </c>
      <c r="U37" s="3" t="s">
        <v>140</v>
      </c>
    </row>
    <row r="38" customFormat="false" ht="35.05" hidden="false" customHeight="false" outlineLevel="0" collapsed="false">
      <c r="A38" s="2" t="s">
        <v>197</v>
      </c>
      <c r="B38" s="2" t="s">
        <v>195</v>
      </c>
      <c r="C38" s="2" t="s">
        <v>196</v>
      </c>
      <c r="D38" s="2" t="s">
        <v>24</v>
      </c>
      <c r="E38" s="2" t="s">
        <v>25</v>
      </c>
      <c r="F38" s="2"/>
      <c r="G38" s="2"/>
      <c r="H38" s="2" t="n">
        <v>539.44</v>
      </c>
      <c r="I38" s="2" t="n">
        <v>0.629</v>
      </c>
      <c r="J38" s="2" t="s">
        <v>36</v>
      </c>
      <c r="K38" s="2" t="s">
        <v>84</v>
      </c>
      <c r="L38" s="2" t="s">
        <v>103</v>
      </c>
      <c r="M38" s="2" t="s">
        <v>104</v>
      </c>
      <c r="N38" s="2" t="s">
        <v>105</v>
      </c>
      <c r="O38" s="2" t="s">
        <v>59</v>
      </c>
      <c r="P38" s="2" t="s">
        <v>40</v>
      </c>
      <c r="Q38" s="2" t="s">
        <v>41</v>
      </c>
      <c r="R38" s="2" t="s">
        <v>42</v>
      </c>
      <c r="S38" s="2" t="s">
        <v>43</v>
      </c>
      <c r="T38" s="2" t="s">
        <v>44</v>
      </c>
      <c r="U38" s="2" t="s">
        <v>88</v>
      </c>
    </row>
    <row r="39" customFormat="false" ht="35.05" hidden="false" customHeight="false" outlineLevel="0" collapsed="false">
      <c r="A39" s="3" t="s">
        <v>198</v>
      </c>
      <c r="B39" s="3" t="s">
        <v>199</v>
      </c>
      <c r="C39" s="3" t="s">
        <v>196</v>
      </c>
      <c r="D39" s="3" t="s">
        <v>116</v>
      </c>
      <c r="E39" s="4" t="s">
        <v>117</v>
      </c>
      <c r="F39" s="3"/>
      <c r="G39" s="3"/>
      <c r="H39" s="3"/>
      <c r="I39" s="3"/>
      <c r="J39" s="3" t="s">
        <v>104</v>
      </c>
      <c r="K39" s="3" t="s">
        <v>104</v>
      </c>
      <c r="L39" s="3" t="s">
        <v>85</v>
      </c>
      <c r="M39" s="3" t="s">
        <v>131</v>
      </c>
      <c r="N39" s="3" t="s">
        <v>132</v>
      </c>
      <c r="O39" s="3" t="s">
        <v>59</v>
      </c>
      <c r="P39" s="3" t="s">
        <v>119</v>
      </c>
      <c r="Q39" s="3" t="s">
        <v>61</v>
      </c>
      <c r="R39" s="3" t="s">
        <v>120</v>
      </c>
      <c r="S39" s="3" t="s">
        <v>121</v>
      </c>
      <c r="T39" s="3" t="s">
        <v>44</v>
      </c>
      <c r="U39" s="3" t="s">
        <v>122</v>
      </c>
    </row>
    <row r="40" customFormat="false" ht="23.85" hidden="false" customHeight="false" outlineLevel="0" collapsed="false">
      <c r="A40" s="2" t="s">
        <v>200</v>
      </c>
      <c r="B40" s="2" t="s">
        <v>201</v>
      </c>
      <c r="C40" s="2" t="s">
        <v>196</v>
      </c>
      <c r="D40" s="2" t="s">
        <v>24</v>
      </c>
      <c r="E40" s="2" t="s">
        <v>25</v>
      </c>
      <c r="F40" s="2" t="n">
        <v>426.56</v>
      </c>
      <c r="G40" s="2" t="n">
        <v>426.56</v>
      </c>
      <c r="H40" s="2" t="n">
        <v>426.56</v>
      </c>
      <c r="I40" s="2" t="n">
        <v>8.53</v>
      </c>
      <c r="J40" s="2" t="s">
        <v>94</v>
      </c>
      <c r="K40" s="2" t="s">
        <v>27</v>
      </c>
      <c r="L40" s="2" t="s">
        <v>202</v>
      </c>
      <c r="M40" s="2" t="s">
        <v>131</v>
      </c>
      <c r="N40" s="2" t="s">
        <v>27</v>
      </c>
      <c r="O40" s="2" t="s">
        <v>30</v>
      </c>
      <c r="P40" s="2" t="s">
        <v>184</v>
      </c>
      <c r="Q40" s="2" t="s">
        <v>27</v>
      </c>
      <c r="R40" s="2" t="s">
        <v>27</v>
      </c>
      <c r="S40" s="2" t="s">
        <v>99</v>
      </c>
      <c r="T40" s="2" t="s">
        <v>33</v>
      </c>
      <c r="U40" s="2" t="s">
        <v>203</v>
      </c>
    </row>
    <row r="41" customFormat="false" ht="35.05" hidden="false" customHeight="false" outlineLevel="0" collapsed="false">
      <c r="A41" s="3" t="s">
        <v>204</v>
      </c>
      <c r="B41" s="3" t="s">
        <v>201</v>
      </c>
      <c r="C41" s="3" t="s">
        <v>196</v>
      </c>
      <c r="D41" s="3" t="s">
        <v>24</v>
      </c>
      <c r="E41" s="3" t="s">
        <v>25</v>
      </c>
      <c r="F41" s="3"/>
      <c r="G41" s="3"/>
      <c r="H41" s="3" t="n">
        <v>426.56</v>
      </c>
      <c r="I41" s="3" t="n">
        <v>8.53</v>
      </c>
      <c r="J41" s="3" t="s">
        <v>36</v>
      </c>
      <c r="K41" s="3" t="s">
        <v>84</v>
      </c>
      <c r="L41" s="3" t="s">
        <v>85</v>
      </c>
      <c r="M41" s="3" t="s">
        <v>131</v>
      </c>
      <c r="N41" s="3" t="s">
        <v>205</v>
      </c>
      <c r="O41" s="3" t="s">
        <v>39</v>
      </c>
      <c r="P41" s="3" t="s">
        <v>40</v>
      </c>
      <c r="Q41" s="3" t="s">
        <v>41</v>
      </c>
      <c r="R41" s="3" t="s">
        <v>42</v>
      </c>
      <c r="S41" s="3" t="s">
        <v>43</v>
      </c>
      <c r="T41" s="3" t="s">
        <v>44</v>
      </c>
      <c r="U41" s="3" t="s">
        <v>88</v>
      </c>
    </row>
    <row r="42" customFormat="false" ht="35.05" hidden="false" customHeight="false" outlineLevel="0" collapsed="false">
      <c r="A42" s="2" t="s">
        <v>206</v>
      </c>
      <c r="B42" s="2" t="s">
        <v>207</v>
      </c>
      <c r="C42" s="2" t="s">
        <v>196</v>
      </c>
      <c r="D42" s="2" t="s">
        <v>24</v>
      </c>
      <c r="E42" s="2" t="s">
        <v>25</v>
      </c>
      <c r="F42" s="2" t="n">
        <v>370</v>
      </c>
      <c r="G42" s="2" t="n">
        <v>370</v>
      </c>
      <c r="H42" s="2" t="n">
        <v>370</v>
      </c>
      <c r="I42" s="2"/>
      <c r="J42" s="2" t="s">
        <v>125</v>
      </c>
      <c r="K42" s="2" t="s">
        <v>27</v>
      </c>
      <c r="L42" s="2" t="s">
        <v>136</v>
      </c>
      <c r="M42" s="2" t="s">
        <v>137</v>
      </c>
      <c r="N42" s="2" t="s">
        <v>27</v>
      </c>
      <c r="O42" s="2" t="s">
        <v>97</v>
      </c>
      <c r="P42" s="2" t="s">
        <v>208</v>
      </c>
      <c r="Q42" s="2" t="s">
        <v>27</v>
      </c>
      <c r="R42" s="2" t="s">
        <v>27</v>
      </c>
      <c r="S42" s="2" t="s">
        <v>32</v>
      </c>
      <c r="T42" s="2" t="s">
        <v>33</v>
      </c>
      <c r="U42" s="2" t="s">
        <v>140</v>
      </c>
    </row>
    <row r="43" customFormat="false" ht="23.85" hidden="false" customHeight="false" outlineLevel="0" collapsed="false">
      <c r="A43" s="3" t="s">
        <v>209</v>
      </c>
      <c r="B43" s="3" t="s">
        <v>210</v>
      </c>
      <c r="C43" s="3" t="s">
        <v>196</v>
      </c>
      <c r="D43" s="3" t="s">
        <v>24</v>
      </c>
      <c r="E43" s="3" t="s">
        <v>25</v>
      </c>
      <c r="F43" s="3" t="n">
        <v>280</v>
      </c>
      <c r="G43" s="3" t="n">
        <v>280</v>
      </c>
      <c r="H43" s="3" t="n">
        <v>280</v>
      </c>
      <c r="I43" s="3"/>
      <c r="J43" s="3" t="s">
        <v>125</v>
      </c>
      <c r="K43" s="3" t="s">
        <v>27</v>
      </c>
      <c r="L43" s="3" t="s">
        <v>85</v>
      </c>
      <c r="M43" s="3" t="s">
        <v>211</v>
      </c>
      <c r="N43" s="3" t="s">
        <v>27</v>
      </c>
      <c r="O43" s="3" t="s">
        <v>30</v>
      </c>
      <c r="P43" s="3" t="s">
        <v>90</v>
      </c>
      <c r="Q43" s="3" t="s">
        <v>27</v>
      </c>
      <c r="R43" s="3" t="s">
        <v>27</v>
      </c>
      <c r="S43" s="3" t="s">
        <v>32</v>
      </c>
      <c r="T43" s="3" t="s">
        <v>33</v>
      </c>
      <c r="U43" s="3" t="s">
        <v>212</v>
      </c>
    </row>
    <row r="44" customFormat="false" ht="23.85" hidden="false" customHeight="false" outlineLevel="0" collapsed="false">
      <c r="A44" s="2" t="s">
        <v>213</v>
      </c>
      <c r="B44" s="2" t="s">
        <v>210</v>
      </c>
      <c r="C44" s="2" t="s">
        <v>196</v>
      </c>
      <c r="D44" s="2" t="s">
        <v>66</v>
      </c>
      <c r="E44" s="2" t="s">
        <v>25</v>
      </c>
      <c r="F44" s="2" t="n">
        <v>500</v>
      </c>
      <c r="G44" s="2" t="n">
        <v>500</v>
      </c>
      <c r="H44" s="2" t="n">
        <v>500</v>
      </c>
      <c r="I44" s="2"/>
      <c r="J44" s="2" t="s">
        <v>125</v>
      </c>
      <c r="K44" s="2" t="s">
        <v>27</v>
      </c>
      <c r="L44" s="2" t="s">
        <v>85</v>
      </c>
      <c r="M44" s="2" t="s">
        <v>211</v>
      </c>
      <c r="N44" s="2" t="s">
        <v>27</v>
      </c>
      <c r="O44" s="2" t="s">
        <v>30</v>
      </c>
      <c r="P44" s="2" t="s">
        <v>90</v>
      </c>
      <c r="Q44" s="2" t="s">
        <v>27</v>
      </c>
      <c r="R44" s="2" t="s">
        <v>27</v>
      </c>
      <c r="S44" s="2" t="s">
        <v>32</v>
      </c>
      <c r="T44" s="2" t="s">
        <v>33</v>
      </c>
      <c r="U44" s="2" t="s">
        <v>128</v>
      </c>
    </row>
    <row r="45" customFormat="false" ht="35.05" hidden="false" customHeight="false" outlineLevel="0" collapsed="false">
      <c r="A45" s="3" t="s">
        <v>214</v>
      </c>
      <c r="B45" s="3" t="s">
        <v>215</v>
      </c>
      <c r="C45" s="3" t="s">
        <v>196</v>
      </c>
      <c r="D45" s="3" t="s">
        <v>24</v>
      </c>
      <c r="E45" s="3" t="s">
        <v>25</v>
      </c>
      <c r="F45" s="3" t="n">
        <v>429</v>
      </c>
      <c r="G45" s="3" t="n">
        <v>429</v>
      </c>
      <c r="H45" s="3" t="n">
        <v>429</v>
      </c>
      <c r="I45" s="3"/>
      <c r="J45" s="3" t="s">
        <v>125</v>
      </c>
      <c r="K45" s="3" t="s">
        <v>27</v>
      </c>
      <c r="L45" s="3" t="s">
        <v>216</v>
      </c>
      <c r="M45" s="3" t="s">
        <v>217</v>
      </c>
      <c r="N45" s="3" t="s">
        <v>27</v>
      </c>
      <c r="O45" s="3" t="s">
        <v>30</v>
      </c>
      <c r="P45" s="3" t="s">
        <v>218</v>
      </c>
      <c r="Q45" s="3" t="s">
        <v>27</v>
      </c>
      <c r="R45" s="3" t="s">
        <v>27</v>
      </c>
      <c r="S45" s="3" t="s">
        <v>32</v>
      </c>
      <c r="T45" s="3" t="s">
        <v>33</v>
      </c>
      <c r="U45" s="3" t="s">
        <v>219</v>
      </c>
    </row>
    <row r="46" customFormat="false" ht="68.65" hidden="false" customHeight="false" outlineLevel="0" collapsed="false">
      <c r="A46" s="2" t="s">
        <v>220</v>
      </c>
      <c r="B46" s="2" t="s">
        <v>215</v>
      </c>
      <c r="C46" s="2" t="s">
        <v>196</v>
      </c>
      <c r="D46" s="2" t="s">
        <v>24</v>
      </c>
      <c r="E46" s="2" t="s">
        <v>25</v>
      </c>
      <c r="F46" s="2"/>
      <c r="G46" s="2"/>
      <c r="H46" s="2" t="n">
        <v>453.3</v>
      </c>
      <c r="I46" s="2"/>
      <c r="J46" s="2" t="s">
        <v>221</v>
      </c>
      <c r="K46" s="2" t="s">
        <v>222</v>
      </c>
      <c r="L46" s="2" t="s">
        <v>28</v>
      </c>
      <c r="M46" s="2" t="s">
        <v>223</v>
      </c>
      <c r="N46" s="2" t="s">
        <v>224</v>
      </c>
      <c r="O46" s="2" t="s">
        <v>39</v>
      </c>
      <c r="P46" s="2" t="s">
        <v>50</v>
      </c>
      <c r="Q46" s="2" t="s">
        <v>51</v>
      </c>
      <c r="R46" s="2" t="s">
        <v>52</v>
      </c>
      <c r="S46" s="2" t="s">
        <v>53</v>
      </c>
      <c r="T46" s="2" t="s">
        <v>44</v>
      </c>
      <c r="U46" s="2" t="s">
        <v>225</v>
      </c>
    </row>
    <row r="47" customFormat="false" ht="35.05" hidden="false" customHeight="false" outlineLevel="0" collapsed="false">
      <c r="A47" s="3" t="s">
        <v>226</v>
      </c>
      <c r="B47" s="3" t="s">
        <v>215</v>
      </c>
      <c r="C47" s="3" t="s">
        <v>196</v>
      </c>
      <c r="D47" s="3" t="s">
        <v>66</v>
      </c>
      <c r="E47" s="3" t="s">
        <v>25</v>
      </c>
      <c r="F47" s="3" t="n">
        <v>542</v>
      </c>
      <c r="G47" s="3" t="n">
        <v>542</v>
      </c>
      <c r="H47" s="3" t="n">
        <v>542</v>
      </c>
      <c r="I47" s="3"/>
      <c r="J47" s="3" t="s">
        <v>125</v>
      </c>
      <c r="K47" s="3" t="s">
        <v>27</v>
      </c>
      <c r="L47" s="3" t="s">
        <v>216</v>
      </c>
      <c r="M47" s="3" t="s">
        <v>217</v>
      </c>
      <c r="N47" s="3" t="s">
        <v>27</v>
      </c>
      <c r="O47" s="3" t="s">
        <v>30</v>
      </c>
      <c r="P47" s="3" t="s">
        <v>90</v>
      </c>
      <c r="Q47" s="3" t="s">
        <v>27</v>
      </c>
      <c r="R47" s="3" t="s">
        <v>27</v>
      </c>
      <c r="S47" s="3" t="s">
        <v>32</v>
      </c>
      <c r="T47" s="3" t="s">
        <v>33</v>
      </c>
      <c r="U47" s="3" t="s">
        <v>128</v>
      </c>
    </row>
    <row r="48" customFormat="false" ht="35.05" hidden="false" customHeight="false" outlineLevel="0" collapsed="false">
      <c r="A48" s="2" t="s">
        <v>227</v>
      </c>
      <c r="B48" s="2" t="s">
        <v>228</v>
      </c>
      <c r="C48" s="2" t="s">
        <v>196</v>
      </c>
      <c r="D48" s="2" t="s">
        <v>116</v>
      </c>
      <c r="E48" s="2" t="s">
        <v>25</v>
      </c>
      <c r="F48" s="2"/>
      <c r="G48" s="2"/>
      <c r="H48" s="2" t="n">
        <v>341.87</v>
      </c>
      <c r="I48" s="2"/>
      <c r="J48" s="2" t="s">
        <v>229</v>
      </c>
      <c r="K48" s="2" t="s">
        <v>230</v>
      </c>
      <c r="L48" s="2" t="s">
        <v>103</v>
      </c>
      <c r="M48" s="2" t="s">
        <v>104</v>
      </c>
      <c r="N48" s="2" t="s">
        <v>231</v>
      </c>
      <c r="O48" s="2" t="s">
        <v>59</v>
      </c>
      <c r="P48" s="2" t="s">
        <v>50</v>
      </c>
      <c r="Q48" s="2" t="s">
        <v>51</v>
      </c>
      <c r="R48" s="2" t="s">
        <v>52</v>
      </c>
      <c r="S48" s="2" t="s">
        <v>53</v>
      </c>
      <c r="T48" s="2" t="s">
        <v>44</v>
      </c>
      <c r="U48" s="2" t="s">
        <v>232</v>
      </c>
    </row>
    <row r="49" customFormat="false" ht="23.85" hidden="false" customHeight="false" outlineLevel="0" collapsed="false">
      <c r="A49" s="3" t="s">
        <v>233</v>
      </c>
      <c r="B49" s="3" t="s">
        <v>234</v>
      </c>
      <c r="C49" s="3" t="s">
        <v>196</v>
      </c>
      <c r="D49" s="3" t="s">
        <v>24</v>
      </c>
      <c r="E49" s="3" t="s">
        <v>25</v>
      </c>
      <c r="F49" s="3" t="n">
        <v>250</v>
      </c>
      <c r="G49" s="3" t="n">
        <v>250</v>
      </c>
      <c r="H49" s="3" t="n">
        <v>250</v>
      </c>
      <c r="I49" s="3"/>
      <c r="J49" s="3" t="s">
        <v>125</v>
      </c>
      <c r="K49" s="3" t="s">
        <v>27</v>
      </c>
      <c r="L49" s="3" t="s">
        <v>216</v>
      </c>
      <c r="M49" s="3" t="s">
        <v>235</v>
      </c>
      <c r="N49" s="3" t="s">
        <v>27</v>
      </c>
      <c r="O49" s="3" t="s">
        <v>30</v>
      </c>
      <c r="P49" s="3" t="s">
        <v>90</v>
      </c>
      <c r="Q49" s="3" t="s">
        <v>27</v>
      </c>
      <c r="R49" s="3" t="s">
        <v>27</v>
      </c>
      <c r="S49" s="3" t="s">
        <v>32</v>
      </c>
      <c r="T49" s="3" t="s">
        <v>33</v>
      </c>
      <c r="U49" s="3" t="s">
        <v>236</v>
      </c>
    </row>
    <row r="50" customFormat="false" ht="35.05" hidden="false" customHeight="false" outlineLevel="0" collapsed="false">
      <c r="A50" s="2" t="s">
        <v>237</v>
      </c>
      <c r="B50" s="2" t="s">
        <v>238</v>
      </c>
      <c r="C50" s="2" t="s">
        <v>196</v>
      </c>
      <c r="D50" s="2" t="s">
        <v>24</v>
      </c>
      <c r="E50" s="2" t="s">
        <v>25</v>
      </c>
      <c r="F50" s="2" t="n">
        <v>329</v>
      </c>
      <c r="G50" s="2" t="n">
        <v>449.48</v>
      </c>
      <c r="H50" s="2"/>
      <c r="I50" s="2" t="n">
        <v>13.49</v>
      </c>
      <c r="J50" s="2" t="s">
        <v>239</v>
      </c>
      <c r="K50" s="2" t="s">
        <v>27</v>
      </c>
      <c r="L50" s="2" t="s">
        <v>240</v>
      </c>
      <c r="M50" s="2" t="s">
        <v>131</v>
      </c>
      <c r="N50" s="2" t="s">
        <v>27</v>
      </c>
      <c r="O50" s="2" t="s">
        <v>30</v>
      </c>
      <c r="P50" s="2" t="s">
        <v>172</v>
      </c>
      <c r="Q50" s="2" t="s">
        <v>27</v>
      </c>
      <c r="R50" s="2" t="s">
        <v>27</v>
      </c>
      <c r="S50" s="2" t="s">
        <v>241</v>
      </c>
      <c r="T50" s="2" t="s">
        <v>33</v>
      </c>
      <c r="U50" s="2" t="s">
        <v>242</v>
      </c>
    </row>
    <row r="51" customFormat="false" ht="91" hidden="false" customHeight="false" outlineLevel="0" collapsed="false">
      <c r="A51" s="3" t="s">
        <v>243</v>
      </c>
      <c r="B51" s="3" t="s">
        <v>238</v>
      </c>
      <c r="C51" s="3" t="s">
        <v>196</v>
      </c>
      <c r="D51" s="3" t="s">
        <v>24</v>
      </c>
      <c r="E51" s="3" t="s">
        <v>25</v>
      </c>
      <c r="F51" s="3"/>
      <c r="G51" s="3"/>
      <c r="H51" s="3" t="n">
        <v>449.48</v>
      </c>
      <c r="I51" s="3" t="n">
        <v>13.49</v>
      </c>
      <c r="J51" s="3" t="s">
        <v>36</v>
      </c>
      <c r="K51" s="3" t="s">
        <v>84</v>
      </c>
      <c r="L51" s="3" t="s">
        <v>85</v>
      </c>
      <c r="M51" s="3" t="s">
        <v>131</v>
      </c>
      <c r="N51" s="3" t="s">
        <v>244</v>
      </c>
      <c r="O51" s="3" t="s">
        <v>59</v>
      </c>
      <c r="P51" s="3" t="s">
        <v>40</v>
      </c>
      <c r="Q51" s="3" t="s">
        <v>41</v>
      </c>
      <c r="R51" s="3" t="s">
        <v>42</v>
      </c>
      <c r="S51" s="3" t="s">
        <v>43</v>
      </c>
      <c r="T51" s="3" t="s">
        <v>44</v>
      </c>
      <c r="U51" s="3" t="s">
        <v>245</v>
      </c>
    </row>
    <row r="52" customFormat="false" ht="23.85" hidden="false" customHeight="false" outlineLevel="0" collapsed="false">
      <c r="A52" s="2" t="s">
        <v>246</v>
      </c>
      <c r="B52" s="2" t="s">
        <v>238</v>
      </c>
      <c r="C52" s="2" t="s">
        <v>196</v>
      </c>
      <c r="D52" s="2" t="s">
        <v>66</v>
      </c>
      <c r="E52" s="2" t="s">
        <v>25</v>
      </c>
      <c r="F52" s="2" t="n">
        <v>570</v>
      </c>
      <c r="G52" s="2" t="n">
        <v>570</v>
      </c>
      <c r="H52" s="2" t="n">
        <v>570</v>
      </c>
      <c r="I52" s="2"/>
      <c r="J52" s="2" t="s">
        <v>125</v>
      </c>
      <c r="K52" s="2" t="s">
        <v>27</v>
      </c>
      <c r="L52" s="2" t="s">
        <v>28</v>
      </c>
      <c r="M52" s="2" t="s">
        <v>131</v>
      </c>
      <c r="N52" s="2" t="s">
        <v>27</v>
      </c>
      <c r="O52" s="2" t="s">
        <v>30</v>
      </c>
      <c r="P52" s="2" t="s">
        <v>172</v>
      </c>
      <c r="Q52" s="2" t="s">
        <v>27</v>
      </c>
      <c r="R52" s="2" t="s">
        <v>27</v>
      </c>
      <c r="S52" s="2" t="s">
        <v>32</v>
      </c>
      <c r="T52" s="2" t="s">
        <v>33</v>
      </c>
      <c r="U52" s="2" t="s">
        <v>128</v>
      </c>
    </row>
    <row r="53" customFormat="false" ht="35.05" hidden="false" customHeight="false" outlineLevel="0" collapsed="false">
      <c r="A53" s="3" t="s">
        <v>247</v>
      </c>
      <c r="B53" s="3" t="s">
        <v>248</v>
      </c>
      <c r="C53" s="3" t="s">
        <v>196</v>
      </c>
      <c r="D53" s="3" t="s">
        <v>116</v>
      </c>
      <c r="E53" s="4" t="s">
        <v>117</v>
      </c>
      <c r="F53" s="3"/>
      <c r="G53" s="3"/>
      <c r="H53" s="3"/>
      <c r="I53" s="3"/>
      <c r="J53" s="3" t="s">
        <v>104</v>
      </c>
      <c r="K53" s="3" t="s">
        <v>104</v>
      </c>
      <c r="L53" s="3" t="s">
        <v>85</v>
      </c>
      <c r="M53" s="3" t="s">
        <v>131</v>
      </c>
      <c r="N53" s="3" t="s">
        <v>249</v>
      </c>
      <c r="O53" s="3" t="s">
        <v>59</v>
      </c>
      <c r="P53" s="3" t="s">
        <v>119</v>
      </c>
      <c r="Q53" s="3" t="s">
        <v>61</v>
      </c>
      <c r="R53" s="3" t="s">
        <v>120</v>
      </c>
      <c r="S53" s="3" t="s">
        <v>121</v>
      </c>
      <c r="T53" s="3" t="s">
        <v>44</v>
      </c>
      <c r="U53" s="3" t="s">
        <v>122</v>
      </c>
    </row>
    <row r="54" customFormat="false" ht="35.05" hidden="false" customHeight="false" outlineLevel="0" collapsed="false">
      <c r="A54" s="2" t="s">
        <v>250</v>
      </c>
      <c r="B54" s="2" t="s">
        <v>251</v>
      </c>
      <c r="C54" s="2" t="s">
        <v>252</v>
      </c>
      <c r="D54" s="2" t="s">
        <v>24</v>
      </c>
      <c r="E54" s="2" t="s">
        <v>25</v>
      </c>
      <c r="F54" s="2" t="n">
        <v>473.16</v>
      </c>
      <c r="G54" s="2" t="n">
        <v>473.16</v>
      </c>
      <c r="H54" s="2" t="n">
        <v>473.16</v>
      </c>
      <c r="I54" s="2" t="n">
        <v>1.6</v>
      </c>
      <c r="J54" s="2" t="s">
        <v>94</v>
      </c>
      <c r="K54" s="2" t="s">
        <v>27</v>
      </c>
      <c r="L54" s="2" t="s">
        <v>136</v>
      </c>
      <c r="M54" s="2" t="s">
        <v>137</v>
      </c>
      <c r="N54" s="2" t="s">
        <v>27</v>
      </c>
      <c r="O54" s="2" t="s">
        <v>97</v>
      </c>
      <c r="P54" s="2" t="s">
        <v>146</v>
      </c>
      <c r="Q54" s="2" t="s">
        <v>27</v>
      </c>
      <c r="R54" s="2" t="s">
        <v>27</v>
      </c>
      <c r="S54" s="2" t="s">
        <v>99</v>
      </c>
      <c r="T54" s="2" t="s">
        <v>33</v>
      </c>
      <c r="U54" s="2" t="s">
        <v>140</v>
      </c>
    </row>
    <row r="55" customFormat="false" ht="79.85" hidden="false" customHeight="false" outlineLevel="0" collapsed="false">
      <c r="A55" s="3" t="s">
        <v>253</v>
      </c>
      <c r="B55" s="3" t="s">
        <v>251</v>
      </c>
      <c r="C55" s="3" t="s">
        <v>254</v>
      </c>
      <c r="D55" s="3" t="s">
        <v>24</v>
      </c>
      <c r="E55" s="3" t="s">
        <v>25</v>
      </c>
      <c r="F55" s="3"/>
      <c r="G55" s="3"/>
      <c r="H55" s="3" t="n">
        <v>473.16</v>
      </c>
      <c r="I55" s="3" t="n">
        <v>1.6</v>
      </c>
      <c r="J55" s="3" t="s">
        <v>36</v>
      </c>
      <c r="K55" s="3" t="s">
        <v>84</v>
      </c>
      <c r="L55" s="3" t="s">
        <v>103</v>
      </c>
      <c r="M55" s="3" t="s">
        <v>104</v>
      </c>
      <c r="N55" s="3" t="s">
        <v>105</v>
      </c>
      <c r="O55" s="3" t="s">
        <v>73</v>
      </c>
      <c r="P55" s="3" t="s">
        <v>40</v>
      </c>
      <c r="Q55" s="3" t="s">
        <v>41</v>
      </c>
      <c r="R55" s="3" t="s">
        <v>42</v>
      </c>
      <c r="S55" s="3" t="s">
        <v>43</v>
      </c>
      <c r="T55" s="3" t="s">
        <v>44</v>
      </c>
      <c r="U55" s="3" t="s">
        <v>255</v>
      </c>
    </row>
    <row r="56" customFormat="false" ht="35.05" hidden="false" customHeight="false" outlineLevel="0" collapsed="false">
      <c r="A56" s="2" t="s">
        <v>256</v>
      </c>
      <c r="B56" s="2" t="s">
        <v>257</v>
      </c>
      <c r="C56" s="2" t="s">
        <v>258</v>
      </c>
      <c r="D56" s="2" t="s">
        <v>116</v>
      </c>
      <c r="E56" s="4" t="s">
        <v>117</v>
      </c>
      <c r="F56" s="2"/>
      <c r="G56" s="2"/>
      <c r="H56" s="2"/>
      <c r="I56" s="2"/>
      <c r="J56" s="2" t="s">
        <v>104</v>
      </c>
      <c r="K56" s="2" t="s">
        <v>104</v>
      </c>
      <c r="L56" s="2" t="s">
        <v>85</v>
      </c>
      <c r="M56" s="2" t="s">
        <v>259</v>
      </c>
      <c r="N56" s="2" t="s">
        <v>260</v>
      </c>
      <c r="O56" s="2" t="s">
        <v>59</v>
      </c>
      <c r="P56" s="2" t="s">
        <v>119</v>
      </c>
      <c r="Q56" s="2" t="s">
        <v>61</v>
      </c>
      <c r="R56" s="2" t="s">
        <v>120</v>
      </c>
      <c r="S56" s="2" t="s">
        <v>121</v>
      </c>
      <c r="T56" s="2" t="s">
        <v>44</v>
      </c>
      <c r="U56" s="2" t="s">
        <v>122</v>
      </c>
    </row>
    <row r="57" customFormat="false" ht="35.05" hidden="false" customHeight="false" outlineLevel="0" collapsed="false">
      <c r="A57" s="3" t="s">
        <v>261</v>
      </c>
      <c r="B57" s="3" t="s">
        <v>262</v>
      </c>
      <c r="C57" s="3" t="s">
        <v>258</v>
      </c>
      <c r="D57" s="3" t="s">
        <v>116</v>
      </c>
      <c r="E57" s="4" t="s">
        <v>117</v>
      </c>
      <c r="F57" s="3"/>
      <c r="G57" s="3"/>
      <c r="H57" s="3"/>
      <c r="I57" s="3"/>
      <c r="J57" s="3" t="s">
        <v>104</v>
      </c>
      <c r="K57" s="3" t="s">
        <v>104</v>
      </c>
      <c r="L57" s="3" t="s">
        <v>85</v>
      </c>
      <c r="M57" s="3" t="s">
        <v>259</v>
      </c>
      <c r="N57" s="3" t="s">
        <v>260</v>
      </c>
      <c r="O57" s="3" t="s">
        <v>59</v>
      </c>
      <c r="P57" s="3" t="s">
        <v>119</v>
      </c>
      <c r="Q57" s="3" t="s">
        <v>61</v>
      </c>
      <c r="R57" s="3" t="s">
        <v>120</v>
      </c>
      <c r="S57" s="3" t="s">
        <v>121</v>
      </c>
      <c r="T57" s="3" t="s">
        <v>44</v>
      </c>
      <c r="U57" s="3" t="s">
        <v>122</v>
      </c>
    </row>
    <row r="58" customFormat="false" ht="23.85" hidden="false" customHeight="false" outlineLevel="0" collapsed="false">
      <c r="A58" s="2" t="s">
        <v>263</v>
      </c>
      <c r="B58" s="2" t="s">
        <v>264</v>
      </c>
      <c r="C58" s="2" t="s">
        <v>265</v>
      </c>
      <c r="D58" s="2" t="s">
        <v>24</v>
      </c>
      <c r="E58" s="2" t="s">
        <v>25</v>
      </c>
      <c r="F58" s="2" t="n">
        <v>415</v>
      </c>
      <c r="G58" s="2" t="n">
        <v>415</v>
      </c>
      <c r="H58" s="2" t="n">
        <v>415</v>
      </c>
      <c r="I58" s="2"/>
      <c r="J58" s="2" t="s">
        <v>125</v>
      </c>
      <c r="K58" s="2" t="s">
        <v>27</v>
      </c>
      <c r="L58" s="2" t="s">
        <v>266</v>
      </c>
      <c r="M58" s="2" t="s">
        <v>267</v>
      </c>
      <c r="N58" s="2" t="s">
        <v>27</v>
      </c>
      <c r="O58" s="2" t="s">
        <v>30</v>
      </c>
      <c r="P58" s="2" t="s">
        <v>208</v>
      </c>
      <c r="Q58" s="2" t="s">
        <v>27</v>
      </c>
      <c r="R58" s="2" t="s">
        <v>27</v>
      </c>
      <c r="S58" s="2" t="s">
        <v>32</v>
      </c>
      <c r="T58" s="2" t="s">
        <v>33</v>
      </c>
      <c r="U58" s="2" t="s">
        <v>268</v>
      </c>
    </row>
    <row r="59" customFormat="false" ht="23.85" hidden="false" customHeight="false" outlineLevel="0" collapsed="false">
      <c r="A59" s="3" t="s">
        <v>269</v>
      </c>
      <c r="B59" s="3" t="s">
        <v>264</v>
      </c>
      <c r="C59" s="3" t="s">
        <v>265</v>
      </c>
      <c r="D59" s="3" t="s">
        <v>66</v>
      </c>
      <c r="E59" s="3" t="s">
        <v>25</v>
      </c>
      <c r="F59" s="3" t="n">
        <v>426</v>
      </c>
      <c r="G59" s="3" t="n">
        <v>426</v>
      </c>
      <c r="H59" s="3" t="n">
        <v>426</v>
      </c>
      <c r="I59" s="3"/>
      <c r="J59" s="3" t="s">
        <v>125</v>
      </c>
      <c r="K59" s="3" t="s">
        <v>27</v>
      </c>
      <c r="L59" s="3" t="s">
        <v>266</v>
      </c>
      <c r="M59" s="3" t="s">
        <v>267</v>
      </c>
      <c r="N59" s="3" t="s">
        <v>27</v>
      </c>
      <c r="O59" s="3" t="s">
        <v>30</v>
      </c>
      <c r="P59" s="3" t="s">
        <v>208</v>
      </c>
      <c r="Q59" s="3" t="s">
        <v>27</v>
      </c>
      <c r="R59" s="3" t="s">
        <v>27</v>
      </c>
      <c r="S59" s="3" t="s">
        <v>32</v>
      </c>
      <c r="T59" s="3" t="s">
        <v>33</v>
      </c>
      <c r="U59" s="3" t="s">
        <v>128</v>
      </c>
    </row>
    <row r="60" customFormat="false" ht="57.45" hidden="false" customHeight="false" outlineLevel="0" collapsed="false">
      <c r="A60" s="2" t="s">
        <v>270</v>
      </c>
      <c r="B60" s="2" t="s">
        <v>271</v>
      </c>
      <c r="C60" s="2" t="s">
        <v>272</v>
      </c>
      <c r="D60" s="2" t="s">
        <v>116</v>
      </c>
      <c r="E60" s="2" t="s">
        <v>25</v>
      </c>
      <c r="F60" s="2"/>
      <c r="G60" s="2"/>
      <c r="H60" s="2" t="n">
        <v>736.87</v>
      </c>
      <c r="I60" s="2"/>
      <c r="J60" s="2" t="s">
        <v>273</v>
      </c>
      <c r="K60" s="2" t="s">
        <v>274</v>
      </c>
      <c r="L60" s="2" t="s">
        <v>275</v>
      </c>
      <c r="M60" s="2" t="s">
        <v>276</v>
      </c>
      <c r="N60" s="2" t="s">
        <v>231</v>
      </c>
      <c r="O60" s="2" t="s">
        <v>59</v>
      </c>
      <c r="P60" s="2" t="s">
        <v>50</v>
      </c>
      <c r="Q60" s="2" t="s">
        <v>51</v>
      </c>
      <c r="R60" s="2" t="s">
        <v>52</v>
      </c>
      <c r="S60" s="2" t="s">
        <v>53</v>
      </c>
      <c r="T60" s="2" t="s">
        <v>44</v>
      </c>
      <c r="U60" s="2" t="s">
        <v>277</v>
      </c>
    </row>
  </sheetData>
  <autoFilter ref="A1:U6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3" min="3" style="0" width="13"/>
    <col collapsed="false" customWidth="true" hidden="false" outlineLevel="0" max="4" min="4" style="0" width="19"/>
    <col collapsed="false" customWidth="true" hidden="false" outlineLevel="0" max="6" min="5" style="0" width="18"/>
    <col collapsed="false" customWidth="true" hidden="false" outlineLevel="0" max="7" min="7" style="0" width="12"/>
    <col collapsed="false" customWidth="true" hidden="false" outlineLevel="0" max="8" min="8" style="0" width="24"/>
  </cols>
  <sheetData>
    <row r="1" customFormat="false" ht="23.85" hidden="false" customHeight="false" outlineLevel="0" collapsed="false">
      <c r="A1" s="1" t="s">
        <v>1</v>
      </c>
      <c r="B1" s="1" t="s">
        <v>3</v>
      </c>
      <c r="C1" s="1" t="s">
        <v>278</v>
      </c>
      <c r="D1" s="1" t="s">
        <v>279</v>
      </c>
      <c r="E1" s="1" t="s">
        <v>280</v>
      </c>
      <c r="F1" s="1" t="s">
        <v>281</v>
      </c>
      <c r="G1" s="1" t="s">
        <v>282</v>
      </c>
      <c r="H1" s="1" t="s">
        <v>283</v>
      </c>
    </row>
    <row r="2" customFormat="false" ht="15" hidden="false" customHeight="false" outlineLevel="0" collapsed="false">
      <c r="A2" s="3" t="s">
        <v>22</v>
      </c>
      <c r="B2" s="3" t="s">
        <v>24</v>
      </c>
      <c r="C2" s="3" t="n">
        <f aca="false">COUNTIFS(Consolidated!$B$2:$B$60,$A2,Consolidated!$D$2:$D$60,$B2)</f>
        <v>4</v>
      </c>
      <c r="D2" s="3" t="n">
        <f aca="false">COUNTIFS(Consolidated!$B$2:$B$60,$A2,Consolidated!$D$2:$D$60,$B2,Consolidated!$E$2:$E$60,"Yes")</f>
        <v>4</v>
      </c>
      <c r="E2" s="3" t="n">
        <f aca="false">IF(COUNTIFS(Consolidated!$B$2:$B$60,$A2,Consolidated!$D$2:$D$60,$B2,Consolidated!$F$2:$F$60,"&gt;0")=0,"",_xlfn.MINIFS(Consolidated!$F$2:$F$60,Consolidated!$B$2:$B$60,$A2,Consolidated!$D$2:$D$60,$B2,Consolidated!$F$2:$F$60,"&gt;0"))</f>
        <v>460</v>
      </c>
      <c r="F2" s="3" t="n">
        <f aca="false">IF(COUNTIFS(Consolidated!$B$2:$B$60,$A2,Consolidated!$D$2:$D$60,$B2,Consolidated!$F$2:$F$60,"&gt;0")=0,"",_xlfn.MAXIFS(Consolidated!$G$2:$G$60,Consolidated!$B$2:$B$60,$A2,Consolidated!$D$2:$D$60,$B2))</f>
        <v>664</v>
      </c>
      <c r="G2" s="3" t="n">
        <f aca="false">IFERROR(IF(AND(ISNUMBER($E2),ISNUMBER($F2)),$F2-$E2,""),"")</f>
        <v>204</v>
      </c>
      <c r="H2" s="3" t="s">
        <v>284</v>
      </c>
    </row>
    <row r="3" customFormat="false" ht="15" hidden="false" customHeight="false" outlineLevel="0" collapsed="false">
      <c r="A3" s="3" t="s">
        <v>22</v>
      </c>
      <c r="B3" s="3" t="s">
        <v>66</v>
      </c>
      <c r="C3" s="3" t="n">
        <f aca="false">COUNTIFS(Consolidated!$B$2:$B$60,$A3,Consolidated!$D$2:$D$60,$B3)</f>
        <v>2</v>
      </c>
      <c r="D3" s="3" t="n">
        <f aca="false">COUNTIFS(Consolidated!$B$2:$B$60,$A3,Consolidated!$D$2:$D$60,$B3,Consolidated!$E$2:$E$60,"Yes")</f>
        <v>2</v>
      </c>
      <c r="E3" s="3" t="n">
        <f aca="false">IF(COUNTIFS(Consolidated!$B$2:$B$60,$A3,Consolidated!$D$2:$D$60,$B3,Consolidated!$F$2:$F$60,"&gt;0")=0,"",_xlfn.MINIFS(Consolidated!$F$2:$F$60,Consolidated!$B$2:$B$60,$A3,Consolidated!$D$2:$D$60,$B3,Consolidated!$F$2:$F$60,"&gt;0"))</f>
        <v>711</v>
      </c>
      <c r="F3" s="3" t="n">
        <f aca="false">IF(COUNTIFS(Consolidated!$B$2:$B$60,$A3,Consolidated!$D$2:$D$60,$B3,Consolidated!$F$2:$F$60,"&gt;0")=0,"",_xlfn.MAXIFS(Consolidated!$G$2:$G$60,Consolidated!$B$2:$B$60,$A3,Consolidated!$D$2:$D$60,$B3))</f>
        <v>982</v>
      </c>
      <c r="G3" s="3" t="n">
        <f aca="false">IFERROR(IF(AND(ISNUMBER($E3),ISNUMBER($F3)),$F3-$E3,""),"")</f>
        <v>271</v>
      </c>
      <c r="H3" s="3" t="s">
        <v>284</v>
      </c>
    </row>
    <row r="4" customFormat="false" ht="15" hidden="false" customHeight="false" outlineLevel="0" collapsed="false">
      <c r="A4" s="3" t="s">
        <v>80</v>
      </c>
      <c r="B4" s="3" t="s">
        <v>24</v>
      </c>
      <c r="C4" s="3" t="n">
        <f aca="false">COUNTIFS(Consolidated!$B$2:$B$60,$A4,Consolidated!$D$2:$D$60,$B4)</f>
        <v>2</v>
      </c>
      <c r="D4" s="3" t="n">
        <f aca="false">COUNTIFS(Consolidated!$B$2:$B$60,$A4,Consolidated!$D$2:$D$60,$B4,Consolidated!$E$2:$E$60,"Yes")</f>
        <v>2</v>
      </c>
      <c r="E4" s="3" t="n">
        <f aca="false">IF(COUNTIFS(Consolidated!$B$2:$B$60,$A4,Consolidated!$D$2:$D$60,$B4,Consolidated!$F$2:$F$60,"&gt;0")=0,"",_xlfn.MINIFS(Consolidated!$F$2:$F$60,Consolidated!$B$2:$B$60,$A4,Consolidated!$D$2:$D$60,$B4,Consolidated!$F$2:$F$60,"&gt;0"))</f>
        <v>462</v>
      </c>
      <c r="F4" s="3" t="n">
        <f aca="false">IF(COUNTIFS(Consolidated!$B$2:$B$60,$A4,Consolidated!$D$2:$D$60,$B4,Consolidated!$F$2:$F$60,"&gt;0")=0,"",_xlfn.MAXIFS(Consolidated!$G$2:$G$60,Consolidated!$B$2:$B$60,$A4,Consolidated!$D$2:$D$60,$B4))</f>
        <v>544</v>
      </c>
      <c r="G4" s="3" t="n">
        <f aca="false">IFERROR(IF(AND(ISNUMBER($E4),ISNUMBER($F4)),$F4-$E4,""),"")</f>
        <v>82</v>
      </c>
      <c r="H4" s="3" t="s">
        <v>284</v>
      </c>
    </row>
    <row r="5" customFormat="false" ht="15" hidden="false" customHeight="false" outlineLevel="0" collapsed="false">
      <c r="A5" s="3" t="s">
        <v>80</v>
      </c>
      <c r="B5" s="3" t="s">
        <v>66</v>
      </c>
      <c r="C5" s="3" t="n">
        <f aca="false">COUNTIFS(Consolidated!$B$2:$B$60,$A5,Consolidated!$D$2:$D$60,$B5)</f>
        <v>1</v>
      </c>
      <c r="D5" s="3" t="n">
        <f aca="false">COUNTIFS(Consolidated!$B$2:$B$60,$A5,Consolidated!$D$2:$D$60,$B5,Consolidated!$E$2:$E$60,"Yes")</f>
        <v>1</v>
      </c>
      <c r="E5" s="3" t="n">
        <f aca="false">IF(COUNTIFS(Consolidated!$B$2:$B$60,$A5,Consolidated!$D$2:$D$60,$B5,Consolidated!$F$2:$F$60,"&gt;0")=0,"",_xlfn.MINIFS(Consolidated!$F$2:$F$60,Consolidated!$B$2:$B$60,$A5,Consolidated!$D$2:$D$60,$B5,Consolidated!$F$2:$F$60,"&gt;0"))</f>
        <v>724</v>
      </c>
      <c r="F5" s="3" t="n">
        <f aca="false">IF(COUNTIFS(Consolidated!$B$2:$B$60,$A5,Consolidated!$D$2:$D$60,$B5,Consolidated!$F$2:$F$60,"&gt;0")=0,"",_xlfn.MAXIFS(Consolidated!$G$2:$G$60,Consolidated!$B$2:$B$60,$A5,Consolidated!$D$2:$D$60,$B5))</f>
        <v>903</v>
      </c>
      <c r="G5" s="3" t="n">
        <f aca="false">IFERROR(IF(AND(ISNUMBER($E5),ISNUMBER($F5)),$F5-$E5,""),"")</f>
        <v>179</v>
      </c>
      <c r="H5" s="3" t="s">
        <v>33</v>
      </c>
    </row>
    <row r="6" customFormat="false" ht="15" hidden="false" customHeight="false" outlineLevel="0" collapsed="false">
      <c r="A6" s="3" t="s">
        <v>93</v>
      </c>
      <c r="B6" s="3" t="s">
        <v>24</v>
      </c>
      <c r="C6" s="3" t="n">
        <f aca="false">COUNTIFS(Consolidated!$B$2:$B$60,$A6,Consolidated!$D$2:$D$60,$B6)</f>
        <v>2</v>
      </c>
      <c r="D6" s="3" t="n">
        <f aca="false">COUNTIFS(Consolidated!$B$2:$B$60,$A6,Consolidated!$D$2:$D$60,$B6,Consolidated!$E$2:$E$60,"Yes")</f>
        <v>2</v>
      </c>
      <c r="E6" s="3" t="n">
        <f aca="false">IF(COUNTIFS(Consolidated!$B$2:$B$60,$A6,Consolidated!$D$2:$D$60,$B6,Consolidated!$F$2:$F$60,"&gt;0")=0,"",_xlfn.MINIFS(Consolidated!$F$2:$F$60,Consolidated!$B$2:$B$60,$A6,Consolidated!$D$2:$D$60,$B6,Consolidated!$F$2:$F$60,"&gt;0"))</f>
        <v>567.51</v>
      </c>
      <c r="F6" s="3" t="n">
        <f aca="false">IF(COUNTIFS(Consolidated!$B$2:$B$60,$A6,Consolidated!$D$2:$D$60,$B6,Consolidated!$F$2:$F$60,"&gt;0")=0,"",_xlfn.MAXIFS(Consolidated!$G$2:$G$60,Consolidated!$B$2:$B$60,$A6,Consolidated!$D$2:$D$60,$B6))</f>
        <v>567.51</v>
      </c>
      <c r="G6" s="3" t="n">
        <f aca="false">IFERROR(IF(AND(ISNUMBER($E6),ISNUMBER($F6)),$F6-$E6,""),"")</f>
        <v>0</v>
      </c>
      <c r="H6" s="3" t="s">
        <v>284</v>
      </c>
    </row>
    <row r="7" customFormat="false" ht="15" hidden="false" customHeight="false" outlineLevel="0" collapsed="false">
      <c r="A7" s="3" t="s">
        <v>108</v>
      </c>
      <c r="B7" s="3" t="s">
        <v>24</v>
      </c>
      <c r="C7" s="3" t="n">
        <f aca="false">COUNTIFS(Consolidated!$B$2:$B$60,$A7,Consolidated!$D$2:$D$60,$B7)</f>
        <v>1</v>
      </c>
      <c r="D7" s="3" t="n">
        <f aca="false">COUNTIFS(Consolidated!$B$2:$B$60,$A7,Consolidated!$D$2:$D$60,$B7,Consolidated!$E$2:$E$60,"Yes")</f>
        <v>1</v>
      </c>
      <c r="E7" s="3" t="n">
        <f aca="false">IF(COUNTIFS(Consolidated!$B$2:$B$60,$A7,Consolidated!$D$2:$D$60,$B7,Consolidated!$F$2:$F$60,"&gt;0")=0,"",_xlfn.MINIFS(Consolidated!$F$2:$F$60,Consolidated!$B$2:$B$60,$A7,Consolidated!$D$2:$D$60,$B7,Consolidated!$F$2:$F$60,"&gt;0"))</f>
        <v>369</v>
      </c>
      <c r="F7" s="3" t="n">
        <f aca="false">IF(COUNTIFS(Consolidated!$B$2:$B$60,$A7,Consolidated!$D$2:$D$60,$B7,Consolidated!$F$2:$F$60,"&gt;0")=0,"",_xlfn.MAXIFS(Consolidated!$G$2:$G$60,Consolidated!$B$2:$B$60,$A7,Consolidated!$D$2:$D$60,$B7))</f>
        <v>430</v>
      </c>
      <c r="G7" s="3" t="n">
        <f aca="false">IFERROR(IF(AND(ISNUMBER($E7),ISNUMBER($F7)),$F7-$E7,""),"")</f>
        <v>61</v>
      </c>
      <c r="H7" s="3" t="s">
        <v>33</v>
      </c>
    </row>
    <row r="8" customFormat="false" ht="15" hidden="false" customHeight="false" outlineLevel="0" collapsed="false">
      <c r="A8" s="3" t="s">
        <v>108</v>
      </c>
      <c r="B8" s="3" t="s">
        <v>66</v>
      </c>
      <c r="C8" s="3" t="n">
        <f aca="false">COUNTIFS(Consolidated!$B$2:$B$60,$A8,Consolidated!$D$2:$D$60,$B8)</f>
        <v>1</v>
      </c>
      <c r="D8" s="3" t="n">
        <f aca="false">COUNTIFS(Consolidated!$B$2:$B$60,$A8,Consolidated!$D$2:$D$60,$B8,Consolidated!$E$2:$E$60,"Yes")</f>
        <v>1</v>
      </c>
      <c r="E8" s="3" t="n">
        <f aca="false">IF(COUNTIFS(Consolidated!$B$2:$B$60,$A8,Consolidated!$D$2:$D$60,$B8,Consolidated!$F$2:$F$60,"&gt;0")=0,"",_xlfn.MINIFS(Consolidated!$F$2:$F$60,Consolidated!$B$2:$B$60,$A8,Consolidated!$D$2:$D$60,$B8,Consolidated!$F$2:$F$60,"&gt;0"))</f>
        <v>524</v>
      </c>
      <c r="F8" s="3" t="n">
        <f aca="false">IF(COUNTIFS(Consolidated!$B$2:$B$60,$A8,Consolidated!$D$2:$D$60,$B8,Consolidated!$F$2:$F$60,"&gt;0")=0,"",_xlfn.MAXIFS(Consolidated!$G$2:$G$60,Consolidated!$B$2:$B$60,$A8,Consolidated!$D$2:$D$60,$B8))</f>
        <v>714</v>
      </c>
      <c r="G8" s="3" t="n">
        <f aca="false">IFERROR(IF(AND(ISNUMBER($E8),ISNUMBER($F8)),$F8-$E8,""),"")</f>
        <v>190</v>
      </c>
      <c r="H8" s="3" t="s">
        <v>33</v>
      </c>
    </row>
    <row r="9" customFormat="false" ht="15" hidden="false" customHeight="false" outlineLevel="0" collapsed="false">
      <c r="A9" s="3" t="s">
        <v>115</v>
      </c>
      <c r="B9" s="3" t="s">
        <v>116</v>
      </c>
      <c r="C9" s="3" t="n">
        <f aca="false">COUNTIFS(Consolidated!$B$2:$B$60,$A9,Consolidated!$D$2:$D$60,$B9)</f>
        <v>1</v>
      </c>
      <c r="D9" s="3" t="n">
        <f aca="false">COUNTIFS(Consolidated!$B$2:$B$60,$A9,Consolidated!$D$2:$D$60,$B9,Consolidated!$E$2:$E$60,"Yes")</f>
        <v>0</v>
      </c>
      <c r="E9" s="3" t="str">
        <f aca="false">IF(COUNTIFS(Consolidated!$B$2:$B$60,$A9,Consolidated!$D$2:$D$60,$B9,Consolidated!$F$2:$F$60,"&gt;0")=0,"",_xlfn.MINIFS(Consolidated!$F$2:$F$60,Consolidated!$B$2:$B$60,$A9,Consolidated!$D$2:$D$60,$B9,Consolidated!$F$2:$F$60,"&gt;0"))</f>
        <v/>
      </c>
      <c r="F9" s="3" t="str">
        <f aca="false">IF(COUNTIFS(Consolidated!$B$2:$B$60,$A9,Consolidated!$D$2:$D$60,$B9,Consolidated!$F$2:$F$60,"&gt;0")=0,"",_xlfn.MAXIFS(Consolidated!$G$2:$G$60,Consolidated!$B$2:$B$60,$A9,Consolidated!$D$2:$D$60,$B9))</f>
        <v/>
      </c>
      <c r="G9" s="3" t="str">
        <f aca="false">IFERROR(IF(AND(ISNUMBER($E9),ISNUMBER($F9)),$F9-$E9,""),"")</f>
        <v/>
      </c>
      <c r="H9" s="3" t="s">
        <v>44</v>
      </c>
    </row>
    <row r="10" customFormat="false" ht="15" hidden="false" customHeight="false" outlineLevel="0" collapsed="false">
      <c r="A10" s="3" t="s">
        <v>124</v>
      </c>
      <c r="B10" s="3" t="s">
        <v>24</v>
      </c>
      <c r="C10" s="3" t="n">
        <f aca="false">COUNTIFS(Consolidated!$B$2:$B$60,$A10,Consolidated!$D$2:$D$60,$B10)</f>
        <v>1</v>
      </c>
      <c r="D10" s="3" t="n">
        <f aca="false">COUNTIFS(Consolidated!$B$2:$B$60,$A10,Consolidated!$D$2:$D$60,$B10,Consolidated!$E$2:$E$60,"Yes")</f>
        <v>1</v>
      </c>
      <c r="E10" s="3" t="n">
        <f aca="false">IF(COUNTIFS(Consolidated!$B$2:$B$60,$A10,Consolidated!$D$2:$D$60,$B10,Consolidated!$F$2:$F$60,"&gt;0")=0,"",_xlfn.MINIFS(Consolidated!$F$2:$F$60,Consolidated!$B$2:$B$60,$A10,Consolidated!$D$2:$D$60,$B10,Consolidated!$F$2:$F$60,"&gt;0"))</f>
        <v>489</v>
      </c>
      <c r="F10" s="3" t="n">
        <f aca="false">IF(COUNTIFS(Consolidated!$B$2:$B$60,$A10,Consolidated!$D$2:$D$60,$B10,Consolidated!$F$2:$F$60,"&gt;0")=0,"",_xlfn.MAXIFS(Consolidated!$G$2:$G$60,Consolidated!$B$2:$B$60,$A10,Consolidated!$D$2:$D$60,$B10))</f>
        <v>489</v>
      </c>
      <c r="G10" s="3" t="n">
        <f aca="false">IFERROR(IF(AND(ISNUMBER($E10),ISNUMBER($F10)),$F10-$E10,""),"")</f>
        <v>0</v>
      </c>
      <c r="H10" s="3" t="s">
        <v>33</v>
      </c>
    </row>
    <row r="11" customFormat="false" ht="15" hidden="false" customHeight="false" outlineLevel="0" collapsed="false">
      <c r="A11" s="3" t="s">
        <v>124</v>
      </c>
      <c r="B11" s="3" t="s">
        <v>66</v>
      </c>
      <c r="C11" s="3" t="n">
        <f aca="false">COUNTIFS(Consolidated!$B$2:$B$60,$A11,Consolidated!$D$2:$D$60,$B11)</f>
        <v>1</v>
      </c>
      <c r="D11" s="3" t="n">
        <f aca="false">COUNTIFS(Consolidated!$B$2:$B$60,$A11,Consolidated!$D$2:$D$60,$B11,Consolidated!$E$2:$E$60,"Yes")</f>
        <v>1</v>
      </c>
      <c r="E11" s="3" t="n">
        <f aca="false">IF(COUNTIFS(Consolidated!$B$2:$B$60,$A11,Consolidated!$D$2:$D$60,$B11,Consolidated!$F$2:$F$60,"&gt;0")=0,"",_xlfn.MINIFS(Consolidated!$F$2:$F$60,Consolidated!$B$2:$B$60,$A11,Consolidated!$D$2:$D$60,$B11,Consolidated!$F$2:$F$60,"&gt;0"))</f>
        <v>763</v>
      </c>
      <c r="F11" s="3" t="n">
        <f aca="false">IF(COUNTIFS(Consolidated!$B$2:$B$60,$A11,Consolidated!$D$2:$D$60,$B11,Consolidated!$F$2:$F$60,"&gt;0")=0,"",_xlfn.MAXIFS(Consolidated!$G$2:$G$60,Consolidated!$B$2:$B$60,$A11,Consolidated!$D$2:$D$60,$B11))</f>
        <v>763</v>
      </c>
      <c r="G11" s="3" t="n">
        <f aca="false">IFERROR(IF(AND(ISNUMBER($E11),ISNUMBER($F11)),$F11-$E11,""),"")</f>
        <v>0</v>
      </c>
      <c r="H11" s="3" t="s">
        <v>33</v>
      </c>
    </row>
    <row r="12" customFormat="false" ht="15" hidden="false" customHeight="false" outlineLevel="0" collapsed="false">
      <c r="A12" s="3" t="s">
        <v>130</v>
      </c>
      <c r="B12" s="3" t="s">
        <v>116</v>
      </c>
      <c r="C12" s="3" t="n">
        <f aca="false">COUNTIFS(Consolidated!$B$2:$B$60,$A12,Consolidated!$D$2:$D$60,$B12)</f>
        <v>1</v>
      </c>
      <c r="D12" s="3" t="n">
        <f aca="false">COUNTIFS(Consolidated!$B$2:$B$60,$A12,Consolidated!$D$2:$D$60,$B12,Consolidated!$E$2:$E$60,"Yes")</f>
        <v>0</v>
      </c>
      <c r="E12" s="3" t="str">
        <f aca="false">IF(COUNTIFS(Consolidated!$B$2:$B$60,$A12,Consolidated!$D$2:$D$60,$B12,Consolidated!$F$2:$F$60,"&gt;0")=0,"",_xlfn.MINIFS(Consolidated!$F$2:$F$60,Consolidated!$B$2:$B$60,$A12,Consolidated!$D$2:$D$60,$B12,Consolidated!$F$2:$F$60,"&gt;0"))</f>
        <v/>
      </c>
      <c r="F12" s="3" t="str">
        <f aca="false">IF(COUNTIFS(Consolidated!$B$2:$B$60,$A12,Consolidated!$D$2:$D$60,$B12,Consolidated!$F$2:$F$60,"&gt;0")=0,"",_xlfn.MAXIFS(Consolidated!$G$2:$G$60,Consolidated!$B$2:$B$60,$A12,Consolidated!$D$2:$D$60,$B12))</f>
        <v/>
      </c>
      <c r="G12" s="3" t="str">
        <f aca="false">IFERROR(IF(AND(ISNUMBER($E12),ISNUMBER($F12)),$F12-$E12,""),"")</f>
        <v/>
      </c>
      <c r="H12" s="3" t="s">
        <v>44</v>
      </c>
    </row>
    <row r="13" customFormat="false" ht="15" hidden="false" customHeight="false" outlineLevel="0" collapsed="false">
      <c r="A13" s="3" t="s">
        <v>134</v>
      </c>
      <c r="B13" s="3" t="s">
        <v>24</v>
      </c>
      <c r="C13" s="3" t="n">
        <f aca="false">COUNTIFS(Consolidated!$B$2:$B$60,$A13,Consolidated!$D$2:$D$60,$B13)</f>
        <v>1</v>
      </c>
      <c r="D13" s="3" t="n">
        <f aca="false">COUNTIFS(Consolidated!$B$2:$B$60,$A13,Consolidated!$D$2:$D$60,$B13,Consolidated!$E$2:$E$60,"Yes")</f>
        <v>1</v>
      </c>
      <c r="E13" s="3" t="n">
        <f aca="false">IF(COUNTIFS(Consolidated!$B$2:$B$60,$A13,Consolidated!$D$2:$D$60,$B13,Consolidated!$F$2:$F$60,"&gt;0")=0,"",_xlfn.MINIFS(Consolidated!$F$2:$F$60,Consolidated!$B$2:$B$60,$A13,Consolidated!$D$2:$D$60,$B13,Consolidated!$F$2:$F$60,"&gt;0"))</f>
        <v>295.29</v>
      </c>
      <c r="F13" s="3" t="n">
        <f aca="false">IF(COUNTIFS(Consolidated!$B$2:$B$60,$A13,Consolidated!$D$2:$D$60,$B13,Consolidated!$F$2:$F$60,"&gt;0")=0,"",_xlfn.MAXIFS(Consolidated!$G$2:$G$60,Consolidated!$B$2:$B$60,$A13,Consolidated!$D$2:$D$60,$B13))</f>
        <v>338.29</v>
      </c>
      <c r="G13" s="3" t="n">
        <f aca="false">IFERROR(IF(AND(ISNUMBER($E13),ISNUMBER($F13)),$F13-$E13,""),"")</f>
        <v>43</v>
      </c>
      <c r="H13" s="3" t="s">
        <v>33</v>
      </c>
    </row>
    <row r="14" customFormat="false" ht="15" hidden="false" customHeight="false" outlineLevel="0" collapsed="false">
      <c r="A14" s="3" t="s">
        <v>142</v>
      </c>
      <c r="B14" s="3" t="s">
        <v>116</v>
      </c>
      <c r="C14" s="3" t="n">
        <f aca="false">COUNTIFS(Consolidated!$B$2:$B$60,$A14,Consolidated!$D$2:$D$60,$B14)</f>
        <v>1</v>
      </c>
      <c r="D14" s="3" t="n">
        <f aca="false">COUNTIFS(Consolidated!$B$2:$B$60,$A14,Consolidated!$D$2:$D$60,$B14,Consolidated!$E$2:$E$60,"Yes")</f>
        <v>0</v>
      </c>
      <c r="E14" s="3" t="str">
        <f aca="false">IF(COUNTIFS(Consolidated!$B$2:$B$60,$A14,Consolidated!$D$2:$D$60,$B14,Consolidated!$F$2:$F$60,"&gt;0")=0,"",_xlfn.MINIFS(Consolidated!$F$2:$F$60,Consolidated!$B$2:$B$60,$A14,Consolidated!$D$2:$D$60,$B14,Consolidated!$F$2:$F$60,"&gt;0"))</f>
        <v/>
      </c>
      <c r="F14" s="3" t="str">
        <f aca="false">IF(COUNTIFS(Consolidated!$B$2:$B$60,$A14,Consolidated!$D$2:$D$60,$B14,Consolidated!$F$2:$F$60,"&gt;0")=0,"",_xlfn.MAXIFS(Consolidated!$G$2:$G$60,Consolidated!$B$2:$B$60,$A14,Consolidated!$D$2:$D$60,$B14))</f>
        <v/>
      </c>
      <c r="G14" s="3" t="str">
        <f aca="false">IFERROR(IF(AND(ISNUMBER($E14),ISNUMBER($F14)),$F14-$E14,""),"")</f>
        <v/>
      </c>
      <c r="H14" s="3" t="s">
        <v>44</v>
      </c>
    </row>
    <row r="15" customFormat="false" ht="15" hidden="false" customHeight="false" outlineLevel="0" collapsed="false">
      <c r="A15" s="3" t="s">
        <v>145</v>
      </c>
      <c r="B15" s="3" t="s">
        <v>24</v>
      </c>
      <c r="C15" s="3" t="n">
        <f aca="false">COUNTIFS(Consolidated!$B$2:$B$60,$A15,Consolidated!$D$2:$D$60,$B15)</f>
        <v>2</v>
      </c>
      <c r="D15" s="3" t="n">
        <f aca="false">COUNTIFS(Consolidated!$B$2:$B$60,$A15,Consolidated!$D$2:$D$60,$B15,Consolidated!$E$2:$E$60,"Yes")</f>
        <v>2</v>
      </c>
      <c r="E15" s="3" t="n">
        <f aca="false">IF(COUNTIFS(Consolidated!$B$2:$B$60,$A15,Consolidated!$D$2:$D$60,$B15,Consolidated!$F$2:$F$60,"&gt;0")=0,"",_xlfn.MINIFS(Consolidated!$F$2:$F$60,Consolidated!$B$2:$B$60,$A15,Consolidated!$D$2:$D$60,$B15,Consolidated!$F$2:$F$60,"&gt;0"))</f>
        <v>269.09</v>
      </c>
      <c r="F15" s="3" t="n">
        <f aca="false">IF(COUNTIFS(Consolidated!$B$2:$B$60,$A15,Consolidated!$D$2:$D$60,$B15,Consolidated!$F$2:$F$60,"&gt;0")=0,"",_xlfn.MAXIFS(Consolidated!$G$2:$G$60,Consolidated!$B$2:$B$60,$A15,Consolidated!$D$2:$D$60,$B15))</f>
        <v>269.09</v>
      </c>
      <c r="G15" s="3" t="n">
        <f aca="false">IFERROR(IF(AND(ISNUMBER($E15),ISNUMBER($F15)),$F15-$E15,""),"")</f>
        <v>0</v>
      </c>
      <c r="H15" s="3" t="s">
        <v>284</v>
      </c>
    </row>
    <row r="16" customFormat="false" ht="15" hidden="false" customHeight="false" outlineLevel="0" collapsed="false">
      <c r="A16" s="3" t="s">
        <v>150</v>
      </c>
      <c r="B16" s="3" t="s">
        <v>24</v>
      </c>
      <c r="C16" s="3" t="n">
        <f aca="false">COUNTIFS(Consolidated!$B$2:$B$60,$A16,Consolidated!$D$2:$D$60,$B16)</f>
        <v>1</v>
      </c>
      <c r="D16" s="3" t="n">
        <f aca="false">COUNTIFS(Consolidated!$B$2:$B$60,$A16,Consolidated!$D$2:$D$60,$B16,Consolidated!$E$2:$E$60,"Yes")</f>
        <v>1</v>
      </c>
      <c r="E16" s="3" t="n">
        <f aca="false">IF(COUNTIFS(Consolidated!$B$2:$B$60,$A16,Consolidated!$D$2:$D$60,$B16,Consolidated!$F$2:$F$60,"&gt;0")=0,"",_xlfn.MINIFS(Consolidated!$F$2:$F$60,Consolidated!$B$2:$B$60,$A16,Consolidated!$D$2:$D$60,$B16,Consolidated!$F$2:$F$60,"&gt;0"))</f>
        <v>362</v>
      </c>
      <c r="F16" s="3" t="n">
        <f aca="false">IF(COUNTIFS(Consolidated!$B$2:$B$60,$A16,Consolidated!$D$2:$D$60,$B16,Consolidated!$F$2:$F$60,"&gt;0")=0,"",_xlfn.MAXIFS(Consolidated!$G$2:$G$60,Consolidated!$B$2:$B$60,$A16,Consolidated!$D$2:$D$60,$B16))</f>
        <v>456</v>
      </c>
      <c r="G16" s="3" t="n">
        <f aca="false">IFERROR(IF(AND(ISNUMBER($E16),ISNUMBER($F16)),$F16-$E16,""),"")</f>
        <v>94</v>
      </c>
      <c r="H16" s="3" t="s">
        <v>33</v>
      </c>
    </row>
    <row r="17" customFormat="false" ht="15" hidden="false" customHeight="false" outlineLevel="0" collapsed="false">
      <c r="A17" s="3" t="s">
        <v>150</v>
      </c>
      <c r="B17" s="3" t="s">
        <v>66</v>
      </c>
      <c r="C17" s="3" t="n">
        <f aca="false">COUNTIFS(Consolidated!$B$2:$B$60,$A17,Consolidated!$D$2:$D$60,$B17)</f>
        <v>1</v>
      </c>
      <c r="D17" s="3" t="n">
        <f aca="false">COUNTIFS(Consolidated!$B$2:$B$60,$A17,Consolidated!$D$2:$D$60,$B17,Consolidated!$E$2:$E$60,"Yes")</f>
        <v>1</v>
      </c>
      <c r="E17" s="3" t="n">
        <f aca="false">IF(COUNTIFS(Consolidated!$B$2:$B$60,$A17,Consolidated!$D$2:$D$60,$B17,Consolidated!$F$2:$F$60,"&gt;0")=0,"",_xlfn.MINIFS(Consolidated!$F$2:$F$60,Consolidated!$B$2:$B$60,$A17,Consolidated!$D$2:$D$60,$B17,Consolidated!$F$2:$F$60,"&gt;0"))</f>
        <v>553</v>
      </c>
      <c r="F17" s="3" t="n">
        <f aca="false">IF(COUNTIFS(Consolidated!$B$2:$B$60,$A17,Consolidated!$D$2:$D$60,$B17,Consolidated!$F$2:$F$60,"&gt;0")=0,"",_xlfn.MAXIFS(Consolidated!$G$2:$G$60,Consolidated!$B$2:$B$60,$A17,Consolidated!$D$2:$D$60,$B17))</f>
        <v>709</v>
      </c>
      <c r="G17" s="3" t="n">
        <f aca="false">IFERROR(IF(AND(ISNUMBER($E17),ISNUMBER($F17)),$F17-$E17,""),"")</f>
        <v>156</v>
      </c>
      <c r="H17" s="3" t="s">
        <v>33</v>
      </c>
    </row>
    <row r="18" customFormat="false" ht="15" hidden="false" customHeight="false" outlineLevel="0" collapsed="false">
      <c r="A18" s="3" t="s">
        <v>154</v>
      </c>
      <c r="B18" s="3" t="s">
        <v>24</v>
      </c>
      <c r="C18" s="3" t="n">
        <f aca="false">COUNTIFS(Consolidated!$B$2:$B$60,$A18,Consolidated!$D$2:$D$60,$B18)</f>
        <v>2</v>
      </c>
      <c r="D18" s="3" t="n">
        <f aca="false">COUNTIFS(Consolidated!$B$2:$B$60,$A18,Consolidated!$D$2:$D$60,$B18,Consolidated!$E$2:$E$60,"Yes")</f>
        <v>2</v>
      </c>
      <c r="E18" s="3" t="n">
        <f aca="false">IF(COUNTIFS(Consolidated!$B$2:$B$60,$A18,Consolidated!$D$2:$D$60,$B18,Consolidated!$F$2:$F$60,"&gt;0")=0,"",_xlfn.MINIFS(Consolidated!$F$2:$F$60,Consolidated!$B$2:$B$60,$A18,Consolidated!$D$2:$D$60,$B18,Consolidated!$F$2:$F$60,"&gt;0"))</f>
        <v>461.87</v>
      </c>
      <c r="F18" s="3" t="n">
        <f aca="false">IF(COUNTIFS(Consolidated!$B$2:$B$60,$A18,Consolidated!$D$2:$D$60,$B18,Consolidated!$F$2:$F$60,"&gt;0")=0,"",_xlfn.MAXIFS(Consolidated!$G$2:$G$60,Consolidated!$B$2:$B$60,$A18,Consolidated!$D$2:$D$60,$B18))</f>
        <v>461.87</v>
      </c>
      <c r="G18" s="3" t="n">
        <f aca="false">IFERROR(IF(AND(ISNUMBER($E18),ISNUMBER($F18)),$F18-$E18,""),"")</f>
        <v>0</v>
      </c>
      <c r="H18" s="3" t="s">
        <v>284</v>
      </c>
    </row>
    <row r="19" customFormat="false" ht="15" hidden="false" customHeight="false" outlineLevel="0" collapsed="false">
      <c r="A19" s="3" t="s">
        <v>157</v>
      </c>
      <c r="B19" s="3" t="s">
        <v>116</v>
      </c>
      <c r="C19" s="3" t="n">
        <f aca="false">COUNTIFS(Consolidated!$B$2:$B$60,$A19,Consolidated!$D$2:$D$60,$B19)</f>
        <v>1</v>
      </c>
      <c r="D19" s="3" t="n">
        <f aca="false">COUNTIFS(Consolidated!$B$2:$B$60,$A19,Consolidated!$D$2:$D$60,$B19,Consolidated!$E$2:$E$60,"Yes")</f>
        <v>0</v>
      </c>
      <c r="E19" s="3" t="str">
        <f aca="false">IF(COUNTIFS(Consolidated!$B$2:$B$60,$A19,Consolidated!$D$2:$D$60,$B19,Consolidated!$F$2:$F$60,"&gt;0")=0,"",_xlfn.MINIFS(Consolidated!$F$2:$F$60,Consolidated!$B$2:$B$60,$A19,Consolidated!$D$2:$D$60,$B19,Consolidated!$F$2:$F$60,"&gt;0"))</f>
        <v/>
      </c>
      <c r="F19" s="3" t="str">
        <f aca="false">IF(COUNTIFS(Consolidated!$B$2:$B$60,$A19,Consolidated!$D$2:$D$60,$B19,Consolidated!$F$2:$F$60,"&gt;0")=0,"",_xlfn.MAXIFS(Consolidated!$G$2:$G$60,Consolidated!$B$2:$B$60,$A19,Consolidated!$D$2:$D$60,$B19))</f>
        <v/>
      </c>
      <c r="G19" s="3" t="str">
        <f aca="false">IFERROR(IF(AND(ISNUMBER($E19),ISNUMBER($F19)),$F19-$E19,""),"")</f>
        <v/>
      </c>
      <c r="H19" s="3" t="s">
        <v>44</v>
      </c>
    </row>
    <row r="20" customFormat="false" ht="15" hidden="false" customHeight="false" outlineLevel="0" collapsed="false">
      <c r="A20" s="3" t="s">
        <v>163</v>
      </c>
      <c r="B20" s="3" t="s">
        <v>24</v>
      </c>
      <c r="C20" s="3" t="n">
        <f aca="false">COUNTIFS(Consolidated!$B$2:$B$60,$A20,Consolidated!$D$2:$D$60,$B20)</f>
        <v>1</v>
      </c>
      <c r="D20" s="3" t="n">
        <f aca="false">COUNTIFS(Consolidated!$B$2:$B$60,$A20,Consolidated!$D$2:$D$60,$B20,Consolidated!$E$2:$E$60,"Yes")</f>
        <v>1</v>
      </c>
      <c r="E20" s="3" t="n">
        <f aca="false">IF(COUNTIFS(Consolidated!$B$2:$B$60,$A20,Consolidated!$D$2:$D$60,$B20,Consolidated!$F$2:$F$60,"&gt;0")=0,"",_xlfn.MINIFS(Consolidated!$F$2:$F$60,Consolidated!$B$2:$B$60,$A20,Consolidated!$D$2:$D$60,$B20,Consolidated!$F$2:$F$60,"&gt;0"))</f>
        <v>490</v>
      </c>
      <c r="F20" s="3" t="n">
        <f aca="false">IF(COUNTIFS(Consolidated!$B$2:$B$60,$A20,Consolidated!$D$2:$D$60,$B20,Consolidated!$F$2:$F$60,"&gt;0")=0,"",_xlfn.MAXIFS(Consolidated!$G$2:$G$60,Consolidated!$B$2:$B$60,$A20,Consolidated!$D$2:$D$60,$B20))</f>
        <v>490</v>
      </c>
      <c r="G20" s="3" t="n">
        <f aca="false">IFERROR(IF(AND(ISNUMBER($E20),ISNUMBER($F20)),$F20-$E20,""),"")</f>
        <v>0</v>
      </c>
      <c r="H20" s="3" t="s">
        <v>33</v>
      </c>
    </row>
    <row r="21" customFormat="false" ht="15" hidden="false" customHeight="false" outlineLevel="0" collapsed="false">
      <c r="A21" s="3" t="s">
        <v>163</v>
      </c>
      <c r="B21" s="3" t="s">
        <v>66</v>
      </c>
      <c r="C21" s="3" t="n">
        <f aca="false">COUNTIFS(Consolidated!$B$2:$B$60,$A21,Consolidated!$D$2:$D$60,$B21)</f>
        <v>1</v>
      </c>
      <c r="D21" s="3" t="n">
        <f aca="false">COUNTIFS(Consolidated!$B$2:$B$60,$A21,Consolidated!$D$2:$D$60,$B21,Consolidated!$E$2:$E$60,"Yes")</f>
        <v>1</v>
      </c>
      <c r="E21" s="3" t="n">
        <f aca="false">IF(COUNTIFS(Consolidated!$B$2:$B$60,$A21,Consolidated!$D$2:$D$60,$B21,Consolidated!$F$2:$F$60,"&gt;0")=0,"",_xlfn.MINIFS(Consolidated!$F$2:$F$60,Consolidated!$B$2:$B$60,$A21,Consolidated!$D$2:$D$60,$B21,Consolidated!$F$2:$F$60,"&gt;0"))</f>
        <v>779</v>
      </c>
      <c r="F21" s="3" t="n">
        <f aca="false">IF(COUNTIFS(Consolidated!$B$2:$B$60,$A21,Consolidated!$D$2:$D$60,$B21,Consolidated!$F$2:$F$60,"&gt;0")=0,"",_xlfn.MAXIFS(Consolidated!$G$2:$G$60,Consolidated!$B$2:$B$60,$A21,Consolidated!$D$2:$D$60,$B21))</f>
        <v>793</v>
      </c>
      <c r="G21" s="3" t="n">
        <f aca="false">IFERROR(IF(AND(ISNUMBER($E21),ISNUMBER($F21)),$F21-$E21,""),"")</f>
        <v>14</v>
      </c>
      <c r="H21" s="3" t="s">
        <v>33</v>
      </c>
    </row>
    <row r="22" customFormat="false" ht="23.85" hidden="false" customHeight="false" outlineLevel="0" collapsed="false">
      <c r="A22" s="3" t="s">
        <v>168</v>
      </c>
      <c r="B22" s="3" t="s">
        <v>116</v>
      </c>
      <c r="C22" s="3" t="n">
        <f aca="false">COUNTIFS(Consolidated!$B$2:$B$60,$A22,Consolidated!$D$2:$D$60,$B22)</f>
        <v>1</v>
      </c>
      <c r="D22" s="3" t="n">
        <f aca="false">COUNTIFS(Consolidated!$B$2:$B$60,$A22,Consolidated!$D$2:$D$60,$B22,Consolidated!$E$2:$E$60,"Yes")</f>
        <v>0</v>
      </c>
      <c r="E22" s="3" t="str">
        <f aca="false">IF(COUNTIFS(Consolidated!$B$2:$B$60,$A22,Consolidated!$D$2:$D$60,$B22,Consolidated!$F$2:$F$60,"&gt;0")=0,"",_xlfn.MINIFS(Consolidated!$F$2:$F$60,Consolidated!$B$2:$B$60,$A22,Consolidated!$D$2:$D$60,$B22,Consolidated!$F$2:$F$60,"&gt;0"))</f>
        <v/>
      </c>
      <c r="F22" s="3" t="str">
        <f aca="false">IF(COUNTIFS(Consolidated!$B$2:$B$60,$A22,Consolidated!$D$2:$D$60,$B22,Consolidated!$F$2:$F$60,"&gt;0")=0,"",_xlfn.MAXIFS(Consolidated!$G$2:$G$60,Consolidated!$B$2:$B$60,$A22,Consolidated!$D$2:$D$60,$B22))</f>
        <v/>
      </c>
      <c r="G22" s="3" t="str">
        <f aca="false">IFERROR(IF(AND(ISNUMBER($E22),ISNUMBER($F22)),$F22-$E22,""),"")</f>
        <v/>
      </c>
      <c r="H22" s="3" t="s">
        <v>44</v>
      </c>
    </row>
    <row r="23" customFormat="false" ht="15" hidden="false" customHeight="false" outlineLevel="0" collapsed="false">
      <c r="A23" s="3" t="s">
        <v>171</v>
      </c>
      <c r="B23" s="3" t="s">
        <v>24</v>
      </c>
      <c r="C23" s="3" t="n">
        <f aca="false">COUNTIFS(Consolidated!$B$2:$B$60,$A23,Consolidated!$D$2:$D$60,$B23)</f>
        <v>1</v>
      </c>
      <c r="D23" s="3" t="n">
        <f aca="false">COUNTIFS(Consolidated!$B$2:$B$60,$A23,Consolidated!$D$2:$D$60,$B23,Consolidated!$E$2:$E$60,"Yes")</f>
        <v>1</v>
      </c>
      <c r="E23" s="3" t="n">
        <f aca="false">IF(COUNTIFS(Consolidated!$B$2:$B$60,$A23,Consolidated!$D$2:$D$60,$B23,Consolidated!$F$2:$F$60,"&gt;0")=0,"",_xlfn.MINIFS(Consolidated!$F$2:$F$60,Consolidated!$B$2:$B$60,$A23,Consolidated!$D$2:$D$60,$B23,Consolidated!$F$2:$F$60,"&gt;0"))</f>
        <v>423</v>
      </c>
      <c r="F23" s="3" t="n">
        <f aca="false">IF(COUNTIFS(Consolidated!$B$2:$B$60,$A23,Consolidated!$D$2:$D$60,$B23,Consolidated!$F$2:$F$60,"&gt;0")=0,"",_xlfn.MAXIFS(Consolidated!$G$2:$G$60,Consolidated!$B$2:$B$60,$A23,Consolidated!$D$2:$D$60,$B23))</f>
        <v>423</v>
      </c>
      <c r="G23" s="3" t="n">
        <f aca="false">IFERROR(IF(AND(ISNUMBER($E23),ISNUMBER($F23)),$F23-$E23,""),"")</f>
        <v>0</v>
      </c>
      <c r="H23" s="3" t="s">
        <v>33</v>
      </c>
    </row>
    <row r="24" customFormat="false" ht="15" hidden="false" customHeight="false" outlineLevel="0" collapsed="false">
      <c r="A24" s="3" t="s">
        <v>171</v>
      </c>
      <c r="B24" s="3" t="s">
        <v>66</v>
      </c>
      <c r="C24" s="3" t="n">
        <f aca="false">COUNTIFS(Consolidated!$B$2:$B$60,$A24,Consolidated!$D$2:$D$60,$B24)</f>
        <v>1</v>
      </c>
      <c r="D24" s="3" t="n">
        <f aca="false">COUNTIFS(Consolidated!$B$2:$B$60,$A24,Consolidated!$D$2:$D$60,$B24,Consolidated!$E$2:$E$60,"Yes")</f>
        <v>1</v>
      </c>
      <c r="E24" s="3" t="n">
        <f aca="false">IF(COUNTIFS(Consolidated!$B$2:$B$60,$A24,Consolidated!$D$2:$D$60,$B24,Consolidated!$F$2:$F$60,"&gt;0")=0,"",_xlfn.MINIFS(Consolidated!$F$2:$F$60,Consolidated!$B$2:$B$60,$A24,Consolidated!$D$2:$D$60,$B24,Consolidated!$F$2:$F$60,"&gt;0"))</f>
        <v>640</v>
      </c>
      <c r="F24" s="3" t="n">
        <f aca="false">IF(COUNTIFS(Consolidated!$B$2:$B$60,$A24,Consolidated!$D$2:$D$60,$B24,Consolidated!$F$2:$F$60,"&gt;0")=0,"",_xlfn.MAXIFS(Consolidated!$G$2:$G$60,Consolidated!$B$2:$B$60,$A24,Consolidated!$D$2:$D$60,$B24))</f>
        <v>640</v>
      </c>
      <c r="G24" s="3" t="n">
        <f aca="false">IFERROR(IF(AND(ISNUMBER($E24),ISNUMBER($F24)),$F24-$E24,""),"")</f>
        <v>0</v>
      </c>
      <c r="H24" s="3" t="s">
        <v>33</v>
      </c>
    </row>
    <row r="25" customFormat="false" ht="15" hidden="false" customHeight="false" outlineLevel="0" collapsed="false">
      <c r="A25" s="3" t="s">
        <v>171</v>
      </c>
      <c r="B25" s="3" t="s">
        <v>116</v>
      </c>
      <c r="C25" s="3" t="n">
        <f aca="false">COUNTIFS(Consolidated!$B$2:$B$60,$A25,Consolidated!$D$2:$D$60,$B25)</f>
        <v>1</v>
      </c>
      <c r="D25" s="3" t="n">
        <f aca="false">COUNTIFS(Consolidated!$B$2:$B$60,$A25,Consolidated!$D$2:$D$60,$B25,Consolidated!$E$2:$E$60,"Yes")</f>
        <v>0</v>
      </c>
      <c r="E25" s="3" t="str">
        <f aca="false">IF(COUNTIFS(Consolidated!$B$2:$B$60,$A25,Consolidated!$D$2:$D$60,$B25,Consolidated!$F$2:$F$60,"&gt;0")=0,"",_xlfn.MINIFS(Consolidated!$F$2:$F$60,Consolidated!$B$2:$B$60,$A25,Consolidated!$D$2:$D$60,$B25,Consolidated!$F$2:$F$60,"&gt;0"))</f>
        <v/>
      </c>
      <c r="F25" s="3" t="str">
        <f aca="false">IF(COUNTIFS(Consolidated!$B$2:$B$60,$A25,Consolidated!$D$2:$D$60,$B25,Consolidated!$F$2:$F$60,"&gt;0")=0,"",_xlfn.MAXIFS(Consolidated!$G$2:$G$60,Consolidated!$B$2:$B$60,$A25,Consolidated!$D$2:$D$60,$B25))</f>
        <v/>
      </c>
      <c r="G25" s="3" t="str">
        <f aca="false">IFERROR(IF(AND(ISNUMBER($E25),ISNUMBER($F25)),$F25-$E25,""),"")</f>
        <v/>
      </c>
      <c r="H25" s="3" t="s">
        <v>44</v>
      </c>
    </row>
    <row r="26" customFormat="false" ht="15" hidden="false" customHeight="false" outlineLevel="0" collapsed="false">
      <c r="A26" s="3" t="s">
        <v>181</v>
      </c>
      <c r="B26" s="3" t="s">
        <v>24</v>
      </c>
      <c r="C26" s="3" t="n">
        <f aca="false">COUNTIFS(Consolidated!$B$2:$B$60,$A26,Consolidated!$D$2:$D$60,$B26)</f>
        <v>2</v>
      </c>
      <c r="D26" s="3" t="n">
        <f aca="false">COUNTIFS(Consolidated!$B$2:$B$60,$A26,Consolidated!$D$2:$D$60,$B26,Consolidated!$E$2:$E$60,"Yes")</f>
        <v>2</v>
      </c>
      <c r="E26" s="3" t="n">
        <f aca="false">IF(COUNTIFS(Consolidated!$B$2:$B$60,$A26,Consolidated!$D$2:$D$60,$B26,Consolidated!$F$2:$F$60,"&gt;0")=0,"",_xlfn.MINIFS(Consolidated!$F$2:$F$60,Consolidated!$B$2:$B$60,$A26,Consolidated!$D$2:$D$60,$B26,Consolidated!$F$2:$F$60,"&gt;0"))</f>
        <v>445.46</v>
      </c>
      <c r="F26" s="3" t="n">
        <f aca="false">IF(COUNTIFS(Consolidated!$B$2:$B$60,$A26,Consolidated!$D$2:$D$60,$B26,Consolidated!$F$2:$F$60,"&gt;0")=0,"",_xlfn.MAXIFS(Consolidated!$G$2:$G$60,Consolidated!$B$2:$B$60,$A26,Consolidated!$D$2:$D$60,$B26))</f>
        <v>445.46</v>
      </c>
      <c r="G26" s="3" t="n">
        <f aca="false">IFERROR(IF(AND(ISNUMBER($E26),ISNUMBER($F26)),$F26-$E26,""),"")</f>
        <v>0</v>
      </c>
      <c r="H26" s="3" t="s">
        <v>284</v>
      </c>
    </row>
    <row r="27" customFormat="false" ht="15" hidden="false" customHeight="false" outlineLevel="0" collapsed="false">
      <c r="A27" s="3" t="s">
        <v>189</v>
      </c>
      <c r="B27" s="3" t="s">
        <v>24</v>
      </c>
      <c r="C27" s="3" t="n">
        <f aca="false">COUNTIFS(Consolidated!$B$2:$B$60,$A27,Consolidated!$D$2:$D$60,$B27)</f>
        <v>1</v>
      </c>
      <c r="D27" s="3" t="n">
        <f aca="false">COUNTIFS(Consolidated!$B$2:$B$60,$A27,Consolidated!$D$2:$D$60,$B27,Consolidated!$E$2:$E$60,"Yes")</f>
        <v>1</v>
      </c>
      <c r="E27" s="3" t="n">
        <f aca="false">IF(COUNTIFS(Consolidated!$B$2:$B$60,$A27,Consolidated!$D$2:$D$60,$B27,Consolidated!$F$2:$F$60,"&gt;0")=0,"",_xlfn.MINIFS(Consolidated!$F$2:$F$60,Consolidated!$B$2:$B$60,$A27,Consolidated!$D$2:$D$60,$B27,Consolidated!$F$2:$F$60,"&gt;0"))</f>
        <v>347.47</v>
      </c>
      <c r="F27" s="3" t="n">
        <f aca="false">IF(COUNTIFS(Consolidated!$B$2:$B$60,$A27,Consolidated!$D$2:$D$60,$B27,Consolidated!$F$2:$F$60,"&gt;0")=0,"",_xlfn.MAXIFS(Consolidated!$G$2:$G$60,Consolidated!$B$2:$B$60,$A27,Consolidated!$D$2:$D$60,$B27))</f>
        <v>369.64</v>
      </c>
      <c r="G27" s="3" t="n">
        <f aca="false">IFERROR(IF(AND(ISNUMBER($E27),ISNUMBER($F27)),$F27-$E27,""),"")</f>
        <v>22.17</v>
      </c>
      <c r="H27" s="3" t="s">
        <v>33</v>
      </c>
    </row>
    <row r="28" customFormat="false" ht="15" hidden="false" customHeight="false" outlineLevel="0" collapsed="false">
      <c r="A28" s="3" t="s">
        <v>195</v>
      </c>
      <c r="B28" s="3" t="s">
        <v>24</v>
      </c>
      <c r="C28" s="3" t="n">
        <f aca="false">COUNTIFS(Consolidated!$B$2:$B$60,$A28,Consolidated!$D$2:$D$60,$B28)</f>
        <v>2</v>
      </c>
      <c r="D28" s="3" t="n">
        <f aca="false">COUNTIFS(Consolidated!$B$2:$B$60,$A28,Consolidated!$D$2:$D$60,$B28,Consolidated!$E$2:$E$60,"Yes")</f>
        <v>2</v>
      </c>
      <c r="E28" s="3" t="n">
        <f aca="false">IF(COUNTIFS(Consolidated!$B$2:$B$60,$A28,Consolidated!$D$2:$D$60,$B28,Consolidated!$F$2:$F$60,"&gt;0")=0,"",_xlfn.MINIFS(Consolidated!$F$2:$F$60,Consolidated!$B$2:$B$60,$A28,Consolidated!$D$2:$D$60,$B28,Consolidated!$F$2:$F$60,"&gt;0"))</f>
        <v>539.44</v>
      </c>
      <c r="F28" s="3" t="n">
        <f aca="false">IF(COUNTIFS(Consolidated!$B$2:$B$60,$A28,Consolidated!$D$2:$D$60,$B28,Consolidated!$F$2:$F$60,"&gt;0")=0,"",_xlfn.MAXIFS(Consolidated!$G$2:$G$60,Consolidated!$B$2:$B$60,$A28,Consolidated!$D$2:$D$60,$B28))</f>
        <v>539.44</v>
      </c>
      <c r="G28" s="3" t="n">
        <f aca="false">IFERROR(IF(AND(ISNUMBER($E28),ISNUMBER($F28)),$F28-$E28,""),"")</f>
        <v>0</v>
      </c>
      <c r="H28" s="3" t="s">
        <v>284</v>
      </c>
    </row>
    <row r="29" customFormat="false" ht="15" hidden="false" customHeight="false" outlineLevel="0" collapsed="false">
      <c r="A29" s="3" t="s">
        <v>199</v>
      </c>
      <c r="B29" s="3" t="s">
        <v>116</v>
      </c>
      <c r="C29" s="3" t="n">
        <f aca="false">COUNTIFS(Consolidated!$B$2:$B$60,$A29,Consolidated!$D$2:$D$60,$B29)</f>
        <v>1</v>
      </c>
      <c r="D29" s="3" t="n">
        <f aca="false">COUNTIFS(Consolidated!$B$2:$B$60,$A29,Consolidated!$D$2:$D$60,$B29,Consolidated!$E$2:$E$60,"Yes")</f>
        <v>0</v>
      </c>
      <c r="E29" s="3" t="str">
        <f aca="false">IF(COUNTIFS(Consolidated!$B$2:$B$60,$A29,Consolidated!$D$2:$D$60,$B29,Consolidated!$F$2:$F$60,"&gt;0")=0,"",_xlfn.MINIFS(Consolidated!$F$2:$F$60,Consolidated!$B$2:$B$60,$A29,Consolidated!$D$2:$D$60,$B29,Consolidated!$F$2:$F$60,"&gt;0"))</f>
        <v/>
      </c>
      <c r="F29" s="3" t="str">
        <f aca="false">IF(COUNTIFS(Consolidated!$B$2:$B$60,$A29,Consolidated!$D$2:$D$60,$B29,Consolidated!$F$2:$F$60,"&gt;0")=0,"",_xlfn.MAXIFS(Consolidated!$G$2:$G$60,Consolidated!$B$2:$B$60,$A29,Consolidated!$D$2:$D$60,$B29))</f>
        <v/>
      </c>
      <c r="G29" s="3" t="str">
        <f aca="false">IFERROR(IF(AND(ISNUMBER($E29),ISNUMBER($F29)),$F29-$E29,""),"")</f>
        <v/>
      </c>
      <c r="H29" s="3" t="s">
        <v>44</v>
      </c>
    </row>
    <row r="30" customFormat="false" ht="15" hidden="false" customHeight="false" outlineLevel="0" collapsed="false">
      <c r="A30" s="3" t="s">
        <v>201</v>
      </c>
      <c r="B30" s="3" t="s">
        <v>24</v>
      </c>
      <c r="C30" s="3" t="n">
        <f aca="false">COUNTIFS(Consolidated!$B$2:$B$60,$A30,Consolidated!$D$2:$D$60,$B30)</f>
        <v>2</v>
      </c>
      <c r="D30" s="3" t="n">
        <f aca="false">COUNTIFS(Consolidated!$B$2:$B$60,$A30,Consolidated!$D$2:$D$60,$B30,Consolidated!$E$2:$E$60,"Yes")</f>
        <v>2</v>
      </c>
      <c r="E30" s="3" t="n">
        <f aca="false">IF(COUNTIFS(Consolidated!$B$2:$B$60,$A30,Consolidated!$D$2:$D$60,$B30,Consolidated!$F$2:$F$60,"&gt;0")=0,"",_xlfn.MINIFS(Consolidated!$F$2:$F$60,Consolidated!$B$2:$B$60,$A30,Consolidated!$D$2:$D$60,$B30,Consolidated!$F$2:$F$60,"&gt;0"))</f>
        <v>426.56</v>
      </c>
      <c r="F30" s="3" t="n">
        <f aca="false">IF(COUNTIFS(Consolidated!$B$2:$B$60,$A30,Consolidated!$D$2:$D$60,$B30,Consolidated!$F$2:$F$60,"&gt;0")=0,"",_xlfn.MAXIFS(Consolidated!$G$2:$G$60,Consolidated!$B$2:$B$60,$A30,Consolidated!$D$2:$D$60,$B30))</f>
        <v>426.56</v>
      </c>
      <c r="G30" s="3" t="n">
        <f aca="false">IFERROR(IF(AND(ISNUMBER($E30),ISNUMBER($F30)),$F30-$E30,""),"")</f>
        <v>0</v>
      </c>
      <c r="H30" s="3" t="s">
        <v>284</v>
      </c>
    </row>
    <row r="31" customFormat="false" ht="15" hidden="false" customHeight="false" outlineLevel="0" collapsed="false">
      <c r="A31" s="3" t="s">
        <v>207</v>
      </c>
      <c r="B31" s="3" t="s">
        <v>24</v>
      </c>
      <c r="C31" s="3" t="n">
        <f aca="false">COUNTIFS(Consolidated!$B$2:$B$60,$A31,Consolidated!$D$2:$D$60,$B31)</f>
        <v>1</v>
      </c>
      <c r="D31" s="3" t="n">
        <f aca="false">COUNTIFS(Consolidated!$B$2:$B$60,$A31,Consolidated!$D$2:$D$60,$B31,Consolidated!$E$2:$E$60,"Yes")</f>
        <v>1</v>
      </c>
      <c r="E31" s="3" t="n">
        <f aca="false">IF(COUNTIFS(Consolidated!$B$2:$B$60,$A31,Consolidated!$D$2:$D$60,$B31,Consolidated!$F$2:$F$60,"&gt;0")=0,"",_xlfn.MINIFS(Consolidated!$F$2:$F$60,Consolidated!$B$2:$B$60,$A31,Consolidated!$D$2:$D$60,$B31,Consolidated!$F$2:$F$60,"&gt;0"))</f>
        <v>370</v>
      </c>
      <c r="F31" s="3" t="n">
        <f aca="false">IF(COUNTIFS(Consolidated!$B$2:$B$60,$A31,Consolidated!$D$2:$D$60,$B31,Consolidated!$F$2:$F$60,"&gt;0")=0,"",_xlfn.MAXIFS(Consolidated!$G$2:$G$60,Consolidated!$B$2:$B$60,$A31,Consolidated!$D$2:$D$60,$B31))</f>
        <v>370</v>
      </c>
      <c r="G31" s="3" t="n">
        <f aca="false">IFERROR(IF(AND(ISNUMBER($E31),ISNUMBER($F31)),$F31-$E31,""),"")</f>
        <v>0</v>
      </c>
      <c r="H31" s="3" t="s">
        <v>33</v>
      </c>
    </row>
    <row r="32" customFormat="false" ht="15" hidden="false" customHeight="false" outlineLevel="0" collapsed="false">
      <c r="A32" s="3" t="s">
        <v>210</v>
      </c>
      <c r="B32" s="3" t="s">
        <v>24</v>
      </c>
      <c r="C32" s="3" t="n">
        <f aca="false">COUNTIFS(Consolidated!$B$2:$B$60,$A32,Consolidated!$D$2:$D$60,$B32)</f>
        <v>1</v>
      </c>
      <c r="D32" s="3" t="n">
        <f aca="false">COUNTIFS(Consolidated!$B$2:$B$60,$A32,Consolidated!$D$2:$D$60,$B32,Consolidated!$E$2:$E$60,"Yes")</f>
        <v>1</v>
      </c>
      <c r="E32" s="3" t="n">
        <f aca="false">IF(COUNTIFS(Consolidated!$B$2:$B$60,$A32,Consolidated!$D$2:$D$60,$B32,Consolidated!$F$2:$F$60,"&gt;0")=0,"",_xlfn.MINIFS(Consolidated!$F$2:$F$60,Consolidated!$B$2:$B$60,$A32,Consolidated!$D$2:$D$60,$B32,Consolidated!$F$2:$F$60,"&gt;0"))</f>
        <v>280</v>
      </c>
      <c r="F32" s="3" t="n">
        <f aca="false">IF(COUNTIFS(Consolidated!$B$2:$B$60,$A32,Consolidated!$D$2:$D$60,$B32,Consolidated!$F$2:$F$60,"&gt;0")=0,"",_xlfn.MAXIFS(Consolidated!$G$2:$G$60,Consolidated!$B$2:$B$60,$A32,Consolidated!$D$2:$D$60,$B32))</f>
        <v>280</v>
      </c>
      <c r="G32" s="3" t="n">
        <f aca="false">IFERROR(IF(AND(ISNUMBER($E32),ISNUMBER($F32)),$F32-$E32,""),"")</f>
        <v>0</v>
      </c>
      <c r="H32" s="3" t="s">
        <v>33</v>
      </c>
    </row>
    <row r="33" customFormat="false" ht="15" hidden="false" customHeight="false" outlineLevel="0" collapsed="false">
      <c r="A33" s="3" t="s">
        <v>210</v>
      </c>
      <c r="B33" s="3" t="s">
        <v>66</v>
      </c>
      <c r="C33" s="3" t="n">
        <f aca="false">COUNTIFS(Consolidated!$B$2:$B$60,$A33,Consolidated!$D$2:$D$60,$B33)</f>
        <v>1</v>
      </c>
      <c r="D33" s="3" t="n">
        <f aca="false">COUNTIFS(Consolidated!$B$2:$B$60,$A33,Consolidated!$D$2:$D$60,$B33,Consolidated!$E$2:$E$60,"Yes")</f>
        <v>1</v>
      </c>
      <c r="E33" s="3" t="n">
        <f aca="false">IF(COUNTIFS(Consolidated!$B$2:$B$60,$A33,Consolidated!$D$2:$D$60,$B33,Consolidated!$F$2:$F$60,"&gt;0")=0,"",_xlfn.MINIFS(Consolidated!$F$2:$F$60,Consolidated!$B$2:$B$60,$A33,Consolidated!$D$2:$D$60,$B33,Consolidated!$F$2:$F$60,"&gt;0"))</f>
        <v>500</v>
      </c>
      <c r="F33" s="3" t="n">
        <f aca="false">IF(COUNTIFS(Consolidated!$B$2:$B$60,$A33,Consolidated!$D$2:$D$60,$B33,Consolidated!$F$2:$F$60,"&gt;0")=0,"",_xlfn.MAXIFS(Consolidated!$G$2:$G$60,Consolidated!$B$2:$B$60,$A33,Consolidated!$D$2:$D$60,$B33))</f>
        <v>500</v>
      </c>
      <c r="G33" s="3" t="n">
        <f aca="false">IFERROR(IF(AND(ISNUMBER($E33),ISNUMBER($F33)),$F33-$E33,""),"")</f>
        <v>0</v>
      </c>
      <c r="H33" s="3" t="s">
        <v>33</v>
      </c>
    </row>
    <row r="34" customFormat="false" ht="15" hidden="false" customHeight="false" outlineLevel="0" collapsed="false">
      <c r="A34" s="3" t="s">
        <v>215</v>
      </c>
      <c r="B34" s="3" t="s">
        <v>24</v>
      </c>
      <c r="C34" s="3" t="n">
        <f aca="false">COUNTIFS(Consolidated!$B$2:$B$60,$A34,Consolidated!$D$2:$D$60,$B34)</f>
        <v>2</v>
      </c>
      <c r="D34" s="3" t="n">
        <f aca="false">COUNTIFS(Consolidated!$B$2:$B$60,$A34,Consolidated!$D$2:$D$60,$B34,Consolidated!$E$2:$E$60,"Yes")</f>
        <v>2</v>
      </c>
      <c r="E34" s="3" t="n">
        <f aca="false">IF(COUNTIFS(Consolidated!$B$2:$B$60,$A34,Consolidated!$D$2:$D$60,$B34,Consolidated!$F$2:$F$60,"&gt;0")=0,"",_xlfn.MINIFS(Consolidated!$F$2:$F$60,Consolidated!$B$2:$B$60,$A34,Consolidated!$D$2:$D$60,$B34,Consolidated!$F$2:$F$60,"&gt;0"))</f>
        <v>429</v>
      </c>
      <c r="F34" s="3" t="n">
        <f aca="false">IF(COUNTIFS(Consolidated!$B$2:$B$60,$A34,Consolidated!$D$2:$D$60,$B34,Consolidated!$F$2:$F$60,"&gt;0")=0,"",_xlfn.MAXIFS(Consolidated!$G$2:$G$60,Consolidated!$B$2:$B$60,$A34,Consolidated!$D$2:$D$60,$B34))</f>
        <v>429</v>
      </c>
      <c r="G34" s="3" t="n">
        <f aca="false">IFERROR(IF(AND(ISNUMBER($E34),ISNUMBER($F34)),$F34-$E34,""),"")</f>
        <v>0</v>
      </c>
      <c r="H34" s="3" t="s">
        <v>284</v>
      </c>
    </row>
    <row r="35" customFormat="false" ht="15" hidden="false" customHeight="false" outlineLevel="0" collapsed="false">
      <c r="A35" s="3" t="s">
        <v>215</v>
      </c>
      <c r="B35" s="3" t="s">
        <v>66</v>
      </c>
      <c r="C35" s="3" t="n">
        <f aca="false">COUNTIFS(Consolidated!$B$2:$B$60,$A35,Consolidated!$D$2:$D$60,$B35)</f>
        <v>1</v>
      </c>
      <c r="D35" s="3" t="n">
        <f aca="false">COUNTIFS(Consolidated!$B$2:$B$60,$A35,Consolidated!$D$2:$D$60,$B35,Consolidated!$E$2:$E$60,"Yes")</f>
        <v>1</v>
      </c>
      <c r="E35" s="3" t="n">
        <f aca="false">IF(COUNTIFS(Consolidated!$B$2:$B$60,$A35,Consolidated!$D$2:$D$60,$B35,Consolidated!$F$2:$F$60,"&gt;0")=0,"",_xlfn.MINIFS(Consolidated!$F$2:$F$60,Consolidated!$B$2:$B$60,$A35,Consolidated!$D$2:$D$60,$B35,Consolidated!$F$2:$F$60,"&gt;0"))</f>
        <v>542</v>
      </c>
      <c r="F35" s="3" t="n">
        <f aca="false">IF(COUNTIFS(Consolidated!$B$2:$B$60,$A35,Consolidated!$D$2:$D$60,$B35,Consolidated!$F$2:$F$60,"&gt;0")=0,"",_xlfn.MAXIFS(Consolidated!$G$2:$G$60,Consolidated!$B$2:$B$60,$A35,Consolidated!$D$2:$D$60,$B35))</f>
        <v>542</v>
      </c>
      <c r="G35" s="3" t="n">
        <f aca="false">IFERROR(IF(AND(ISNUMBER($E35),ISNUMBER($F35)),$F35-$E35,""),"")</f>
        <v>0</v>
      </c>
      <c r="H35" s="3" t="s">
        <v>33</v>
      </c>
    </row>
    <row r="36" customFormat="false" ht="15" hidden="false" customHeight="false" outlineLevel="0" collapsed="false">
      <c r="A36" s="3" t="s">
        <v>228</v>
      </c>
      <c r="B36" s="3" t="s">
        <v>116</v>
      </c>
      <c r="C36" s="3" t="n">
        <f aca="false">COUNTIFS(Consolidated!$B$2:$B$60,$A36,Consolidated!$D$2:$D$60,$B36)</f>
        <v>1</v>
      </c>
      <c r="D36" s="3" t="n">
        <f aca="false">COUNTIFS(Consolidated!$B$2:$B$60,$A36,Consolidated!$D$2:$D$60,$B36,Consolidated!$E$2:$E$60,"Yes")</f>
        <v>1</v>
      </c>
      <c r="E36" s="3" t="str">
        <f aca="false">IF(COUNTIFS(Consolidated!$B$2:$B$60,$A36,Consolidated!$D$2:$D$60,$B36,Consolidated!$F$2:$F$60,"&gt;0")=0,"",_xlfn.MINIFS(Consolidated!$F$2:$F$60,Consolidated!$B$2:$B$60,$A36,Consolidated!$D$2:$D$60,$B36,Consolidated!$F$2:$F$60,"&gt;0"))</f>
        <v/>
      </c>
      <c r="F36" s="3" t="str">
        <f aca="false">IF(COUNTIFS(Consolidated!$B$2:$B$60,$A36,Consolidated!$D$2:$D$60,$B36,Consolidated!$F$2:$F$60,"&gt;0")=0,"",_xlfn.MAXIFS(Consolidated!$G$2:$G$60,Consolidated!$B$2:$B$60,$A36,Consolidated!$D$2:$D$60,$B36))</f>
        <v/>
      </c>
      <c r="G36" s="3" t="str">
        <f aca="false">IFERROR(IF(AND(ISNUMBER($E36),ISNUMBER($F36)),$F36-$E36,""),"")</f>
        <v/>
      </c>
      <c r="H36" s="3" t="s">
        <v>44</v>
      </c>
    </row>
    <row r="37" customFormat="false" ht="15" hidden="false" customHeight="false" outlineLevel="0" collapsed="false">
      <c r="A37" s="3" t="s">
        <v>234</v>
      </c>
      <c r="B37" s="3" t="s">
        <v>24</v>
      </c>
      <c r="C37" s="3" t="n">
        <f aca="false">COUNTIFS(Consolidated!$B$2:$B$60,$A37,Consolidated!$D$2:$D$60,$B37)</f>
        <v>1</v>
      </c>
      <c r="D37" s="3" t="n">
        <f aca="false">COUNTIFS(Consolidated!$B$2:$B$60,$A37,Consolidated!$D$2:$D$60,$B37,Consolidated!$E$2:$E$60,"Yes")</f>
        <v>1</v>
      </c>
      <c r="E37" s="3" t="n">
        <f aca="false">IF(COUNTIFS(Consolidated!$B$2:$B$60,$A37,Consolidated!$D$2:$D$60,$B37,Consolidated!$F$2:$F$60,"&gt;0")=0,"",_xlfn.MINIFS(Consolidated!$F$2:$F$60,Consolidated!$B$2:$B$60,$A37,Consolidated!$D$2:$D$60,$B37,Consolidated!$F$2:$F$60,"&gt;0"))</f>
        <v>250</v>
      </c>
      <c r="F37" s="3" t="n">
        <f aca="false">IF(COUNTIFS(Consolidated!$B$2:$B$60,$A37,Consolidated!$D$2:$D$60,$B37,Consolidated!$F$2:$F$60,"&gt;0")=0,"",_xlfn.MAXIFS(Consolidated!$G$2:$G$60,Consolidated!$B$2:$B$60,$A37,Consolidated!$D$2:$D$60,$B37))</f>
        <v>250</v>
      </c>
      <c r="G37" s="3" t="n">
        <f aca="false">IFERROR(IF(AND(ISNUMBER($E37),ISNUMBER($F37)),$F37-$E37,""),"")</f>
        <v>0</v>
      </c>
      <c r="H37" s="3" t="s">
        <v>33</v>
      </c>
    </row>
    <row r="38" customFormat="false" ht="15" hidden="false" customHeight="false" outlineLevel="0" collapsed="false">
      <c r="A38" s="3" t="s">
        <v>238</v>
      </c>
      <c r="B38" s="3" t="s">
        <v>24</v>
      </c>
      <c r="C38" s="3" t="n">
        <f aca="false">COUNTIFS(Consolidated!$B$2:$B$60,$A38,Consolidated!$D$2:$D$60,$B38)</f>
        <v>2</v>
      </c>
      <c r="D38" s="3" t="n">
        <f aca="false">COUNTIFS(Consolidated!$B$2:$B$60,$A38,Consolidated!$D$2:$D$60,$B38,Consolidated!$E$2:$E$60,"Yes")</f>
        <v>2</v>
      </c>
      <c r="E38" s="3" t="n">
        <f aca="false">IF(COUNTIFS(Consolidated!$B$2:$B$60,$A38,Consolidated!$D$2:$D$60,$B38,Consolidated!$F$2:$F$60,"&gt;0")=0,"",_xlfn.MINIFS(Consolidated!$F$2:$F$60,Consolidated!$B$2:$B$60,$A38,Consolidated!$D$2:$D$60,$B38,Consolidated!$F$2:$F$60,"&gt;0"))</f>
        <v>329</v>
      </c>
      <c r="F38" s="3" t="n">
        <f aca="false">IF(COUNTIFS(Consolidated!$B$2:$B$60,$A38,Consolidated!$D$2:$D$60,$B38,Consolidated!$F$2:$F$60,"&gt;0")=0,"",_xlfn.MAXIFS(Consolidated!$G$2:$G$60,Consolidated!$B$2:$B$60,$A38,Consolidated!$D$2:$D$60,$B38))</f>
        <v>449.48</v>
      </c>
      <c r="G38" s="3" t="n">
        <f aca="false">IFERROR(IF(AND(ISNUMBER($E38),ISNUMBER($F38)),$F38-$E38,""),"")</f>
        <v>120.48</v>
      </c>
      <c r="H38" s="3" t="s">
        <v>284</v>
      </c>
    </row>
    <row r="39" customFormat="false" ht="15" hidden="false" customHeight="false" outlineLevel="0" collapsed="false">
      <c r="A39" s="3" t="s">
        <v>238</v>
      </c>
      <c r="B39" s="3" t="s">
        <v>66</v>
      </c>
      <c r="C39" s="3" t="n">
        <f aca="false">COUNTIFS(Consolidated!$B$2:$B$60,$A39,Consolidated!$D$2:$D$60,$B39)</f>
        <v>1</v>
      </c>
      <c r="D39" s="3" t="n">
        <f aca="false">COUNTIFS(Consolidated!$B$2:$B$60,$A39,Consolidated!$D$2:$D$60,$B39,Consolidated!$E$2:$E$60,"Yes")</f>
        <v>1</v>
      </c>
      <c r="E39" s="3" t="n">
        <f aca="false">IF(COUNTIFS(Consolidated!$B$2:$B$60,$A39,Consolidated!$D$2:$D$60,$B39,Consolidated!$F$2:$F$60,"&gt;0")=0,"",_xlfn.MINIFS(Consolidated!$F$2:$F$60,Consolidated!$B$2:$B$60,$A39,Consolidated!$D$2:$D$60,$B39,Consolidated!$F$2:$F$60,"&gt;0"))</f>
        <v>570</v>
      </c>
      <c r="F39" s="3" t="n">
        <f aca="false">IF(COUNTIFS(Consolidated!$B$2:$B$60,$A39,Consolidated!$D$2:$D$60,$B39,Consolidated!$F$2:$F$60,"&gt;0")=0,"",_xlfn.MAXIFS(Consolidated!$G$2:$G$60,Consolidated!$B$2:$B$60,$A39,Consolidated!$D$2:$D$60,$B39))</f>
        <v>570</v>
      </c>
      <c r="G39" s="3" t="n">
        <f aca="false">IFERROR(IF(AND(ISNUMBER($E39),ISNUMBER($F39)),$F39-$E39,""),"")</f>
        <v>0</v>
      </c>
      <c r="H39" s="3" t="s">
        <v>33</v>
      </c>
    </row>
    <row r="40" customFormat="false" ht="15" hidden="false" customHeight="false" outlineLevel="0" collapsed="false">
      <c r="A40" s="3" t="s">
        <v>248</v>
      </c>
      <c r="B40" s="3" t="s">
        <v>116</v>
      </c>
      <c r="C40" s="3" t="n">
        <f aca="false">COUNTIFS(Consolidated!$B$2:$B$60,$A40,Consolidated!$D$2:$D$60,$B40)</f>
        <v>1</v>
      </c>
      <c r="D40" s="3" t="n">
        <f aca="false">COUNTIFS(Consolidated!$B$2:$B$60,$A40,Consolidated!$D$2:$D$60,$B40,Consolidated!$E$2:$E$60,"Yes")</f>
        <v>0</v>
      </c>
      <c r="E40" s="3" t="str">
        <f aca="false">IF(COUNTIFS(Consolidated!$B$2:$B$60,$A40,Consolidated!$D$2:$D$60,$B40,Consolidated!$F$2:$F$60,"&gt;0")=0,"",_xlfn.MINIFS(Consolidated!$F$2:$F$60,Consolidated!$B$2:$B$60,$A40,Consolidated!$D$2:$D$60,$B40,Consolidated!$F$2:$F$60,"&gt;0"))</f>
        <v/>
      </c>
      <c r="F40" s="3" t="str">
        <f aca="false">IF(COUNTIFS(Consolidated!$B$2:$B$60,$A40,Consolidated!$D$2:$D$60,$B40,Consolidated!$F$2:$F$60,"&gt;0")=0,"",_xlfn.MAXIFS(Consolidated!$G$2:$G$60,Consolidated!$B$2:$B$60,$A40,Consolidated!$D$2:$D$60,$B40))</f>
        <v/>
      </c>
      <c r="G40" s="3" t="str">
        <f aca="false">IFERROR(IF(AND(ISNUMBER($E40),ISNUMBER($F40)),$F40-$E40,""),"")</f>
        <v/>
      </c>
      <c r="H40" s="3" t="s">
        <v>44</v>
      </c>
    </row>
    <row r="41" customFormat="false" ht="15" hidden="false" customHeight="false" outlineLevel="0" collapsed="false">
      <c r="A41" s="3" t="s">
        <v>251</v>
      </c>
      <c r="B41" s="3" t="s">
        <v>24</v>
      </c>
      <c r="C41" s="3" t="n">
        <f aca="false">COUNTIFS(Consolidated!$B$2:$B$60,$A41,Consolidated!$D$2:$D$60,$B41)</f>
        <v>2</v>
      </c>
      <c r="D41" s="3" t="n">
        <f aca="false">COUNTIFS(Consolidated!$B$2:$B$60,$A41,Consolidated!$D$2:$D$60,$B41,Consolidated!$E$2:$E$60,"Yes")</f>
        <v>2</v>
      </c>
      <c r="E41" s="3" t="n">
        <f aca="false">IF(COUNTIFS(Consolidated!$B$2:$B$60,$A41,Consolidated!$D$2:$D$60,$B41,Consolidated!$F$2:$F$60,"&gt;0")=0,"",_xlfn.MINIFS(Consolidated!$F$2:$F$60,Consolidated!$B$2:$B$60,$A41,Consolidated!$D$2:$D$60,$B41,Consolidated!$F$2:$F$60,"&gt;0"))</f>
        <v>473.16</v>
      </c>
      <c r="F41" s="3" t="n">
        <f aca="false">IF(COUNTIFS(Consolidated!$B$2:$B$60,$A41,Consolidated!$D$2:$D$60,$B41,Consolidated!$F$2:$F$60,"&gt;0")=0,"",_xlfn.MAXIFS(Consolidated!$G$2:$G$60,Consolidated!$B$2:$B$60,$A41,Consolidated!$D$2:$D$60,$B41))</f>
        <v>473.16</v>
      </c>
      <c r="G41" s="3" t="n">
        <f aca="false">IFERROR(IF(AND(ISNUMBER($E41),ISNUMBER($F41)),$F41-$E41,""),"")</f>
        <v>0</v>
      </c>
      <c r="H41" s="3" t="s">
        <v>284</v>
      </c>
    </row>
    <row r="42" customFormat="false" ht="15" hidden="false" customHeight="false" outlineLevel="0" collapsed="false">
      <c r="A42" s="3" t="s">
        <v>257</v>
      </c>
      <c r="B42" s="3" t="s">
        <v>116</v>
      </c>
      <c r="C42" s="3" t="n">
        <f aca="false">COUNTIFS(Consolidated!$B$2:$B$60,$A42,Consolidated!$D$2:$D$60,$B42)</f>
        <v>1</v>
      </c>
      <c r="D42" s="3" t="n">
        <f aca="false">COUNTIFS(Consolidated!$B$2:$B$60,$A42,Consolidated!$D$2:$D$60,$B42,Consolidated!$E$2:$E$60,"Yes")</f>
        <v>0</v>
      </c>
      <c r="E42" s="3" t="str">
        <f aca="false">IF(COUNTIFS(Consolidated!$B$2:$B$60,$A42,Consolidated!$D$2:$D$60,$B42,Consolidated!$F$2:$F$60,"&gt;0")=0,"",_xlfn.MINIFS(Consolidated!$F$2:$F$60,Consolidated!$B$2:$B$60,$A42,Consolidated!$D$2:$D$60,$B42,Consolidated!$F$2:$F$60,"&gt;0"))</f>
        <v/>
      </c>
      <c r="F42" s="3" t="str">
        <f aca="false">IF(COUNTIFS(Consolidated!$B$2:$B$60,$A42,Consolidated!$D$2:$D$60,$B42,Consolidated!$F$2:$F$60,"&gt;0")=0,"",_xlfn.MAXIFS(Consolidated!$G$2:$G$60,Consolidated!$B$2:$B$60,$A42,Consolidated!$D$2:$D$60,$B42))</f>
        <v/>
      </c>
      <c r="G42" s="3" t="str">
        <f aca="false">IFERROR(IF(AND(ISNUMBER($E42),ISNUMBER($F42)),$F42-$E42,""),"")</f>
        <v/>
      </c>
      <c r="H42" s="3" t="s">
        <v>44</v>
      </c>
    </row>
    <row r="43" customFormat="false" ht="15" hidden="false" customHeight="false" outlineLevel="0" collapsed="false">
      <c r="A43" s="3" t="s">
        <v>262</v>
      </c>
      <c r="B43" s="3" t="s">
        <v>116</v>
      </c>
      <c r="C43" s="3" t="n">
        <f aca="false">COUNTIFS(Consolidated!$B$2:$B$60,$A43,Consolidated!$D$2:$D$60,$B43)</f>
        <v>1</v>
      </c>
      <c r="D43" s="3" t="n">
        <f aca="false">COUNTIFS(Consolidated!$B$2:$B$60,$A43,Consolidated!$D$2:$D$60,$B43,Consolidated!$E$2:$E$60,"Yes")</f>
        <v>0</v>
      </c>
      <c r="E43" s="3" t="str">
        <f aca="false">IF(COUNTIFS(Consolidated!$B$2:$B$60,$A43,Consolidated!$D$2:$D$60,$B43,Consolidated!$F$2:$F$60,"&gt;0")=0,"",_xlfn.MINIFS(Consolidated!$F$2:$F$60,Consolidated!$B$2:$B$60,$A43,Consolidated!$D$2:$D$60,$B43,Consolidated!$F$2:$F$60,"&gt;0"))</f>
        <v/>
      </c>
      <c r="F43" s="3" t="str">
        <f aca="false">IF(COUNTIFS(Consolidated!$B$2:$B$60,$A43,Consolidated!$D$2:$D$60,$B43,Consolidated!$F$2:$F$60,"&gt;0")=0,"",_xlfn.MAXIFS(Consolidated!$G$2:$G$60,Consolidated!$B$2:$B$60,$A43,Consolidated!$D$2:$D$60,$B43))</f>
        <v/>
      </c>
      <c r="G43" s="3" t="str">
        <f aca="false">IFERROR(IF(AND(ISNUMBER($E43),ISNUMBER($F43)),$F43-$E43,""),"")</f>
        <v/>
      </c>
      <c r="H43" s="3" t="s">
        <v>44</v>
      </c>
    </row>
    <row r="44" customFormat="false" ht="15" hidden="false" customHeight="false" outlineLevel="0" collapsed="false">
      <c r="A44" s="3" t="s">
        <v>264</v>
      </c>
      <c r="B44" s="3" t="s">
        <v>24</v>
      </c>
      <c r="C44" s="3" t="n">
        <f aca="false">COUNTIFS(Consolidated!$B$2:$B$60,$A44,Consolidated!$D$2:$D$60,$B44)</f>
        <v>1</v>
      </c>
      <c r="D44" s="3" t="n">
        <f aca="false">COUNTIFS(Consolidated!$B$2:$B$60,$A44,Consolidated!$D$2:$D$60,$B44,Consolidated!$E$2:$E$60,"Yes")</f>
        <v>1</v>
      </c>
      <c r="E44" s="3" t="n">
        <f aca="false">IF(COUNTIFS(Consolidated!$B$2:$B$60,$A44,Consolidated!$D$2:$D$60,$B44,Consolidated!$F$2:$F$60,"&gt;0")=0,"",_xlfn.MINIFS(Consolidated!$F$2:$F$60,Consolidated!$B$2:$B$60,$A44,Consolidated!$D$2:$D$60,$B44,Consolidated!$F$2:$F$60,"&gt;0"))</f>
        <v>415</v>
      </c>
      <c r="F44" s="3" t="n">
        <f aca="false">IF(COUNTIFS(Consolidated!$B$2:$B$60,$A44,Consolidated!$D$2:$D$60,$B44,Consolidated!$F$2:$F$60,"&gt;0")=0,"",_xlfn.MAXIFS(Consolidated!$G$2:$G$60,Consolidated!$B$2:$B$60,$A44,Consolidated!$D$2:$D$60,$B44))</f>
        <v>415</v>
      </c>
      <c r="G44" s="3" t="n">
        <f aca="false">IFERROR(IF(AND(ISNUMBER($E44),ISNUMBER($F44)),$F44-$E44,""),"")</f>
        <v>0</v>
      </c>
      <c r="H44" s="3" t="s">
        <v>33</v>
      </c>
    </row>
    <row r="45" customFormat="false" ht="15" hidden="false" customHeight="false" outlineLevel="0" collapsed="false">
      <c r="A45" s="3" t="s">
        <v>264</v>
      </c>
      <c r="B45" s="3" t="s">
        <v>66</v>
      </c>
      <c r="C45" s="3" t="n">
        <f aca="false">COUNTIFS(Consolidated!$B$2:$B$60,$A45,Consolidated!$D$2:$D$60,$B45)</f>
        <v>1</v>
      </c>
      <c r="D45" s="3" t="n">
        <f aca="false">COUNTIFS(Consolidated!$B$2:$B$60,$A45,Consolidated!$D$2:$D$60,$B45,Consolidated!$E$2:$E$60,"Yes")</f>
        <v>1</v>
      </c>
      <c r="E45" s="3" t="n">
        <f aca="false">IF(COUNTIFS(Consolidated!$B$2:$B$60,$A45,Consolidated!$D$2:$D$60,$B45,Consolidated!$F$2:$F$60,"&gt;0")=0,"",_xlfn.MINIFS(Consolidated!$F$2:$F$60,Consolidated!$B$2:$B$60,$A45,Consolidated!$D$2:$D$60,$B45,Consolidated!$F$2:$F$60,"&gt;0"))</f>
        <v>426</v>
      </c>
      <c r="F45" s="3" t="n">
        <f aca="false">IF(COUNTIFS(Consolidated!$B$2:$B$60,$A45,Consolidated!$D$2:$D$60,$B45,Consolidated!$F$2:$F$60,"&gt;0")=0,"",_xlfn.MAXIFS(Consolidated!$G$2:$G$60,Consolidated!$B$2:$B$60,$A45,Consolidated!$D$2:$D$60,$B45))</f>
        <v>426</v>
      </c>
      <c r="G45" s="3" t="n">
        <f aca="false">IFERROR(IF(AND(ISNUMBER($E45),ISNUMBER($F45)),$F45-$E45,""),"")</f>
        <v>0</v>
      </c>
      <c r="H45" s="3" t="s">
        <v>33</v>
      </c>
    </row>
    <row r="46" customFormat="false" ht="15" hidden="false" customHeight="false" outlineLevel="0" collapsed="false">
      <c r="A46" s="3" t="s">
        <v>271</v>
      </c>
      <c r="B46" s="3" t="s">
        <v>116</v>
      </c>
      <c r="C46" s="3" t="n">
        <f aca="false">COUNTIFS(Consolidated!$B$2:$B$60,$A46,Consolidated!$D$2:$D$60,$B46)</f>
        <v>1</v>
      </c>
      <c r="D46" s="3" t="n">
        <f aca="false">COUNTIFS(Consolidated!$B$2:$B$60,$A46,Consolidated!$D$2:$D$60,$B46,Consolidated!$E$2:$E$60,"Yes")</f>
        <v>1</v>
      </c>
      <c r="E46" s="3" t="str">
        <f aca="false">IF(COUNTIFS(Consolidated!$B$2:$B$60,$A46,Consolidated!$D$2:$D$60,$B46,Consolidated!$F$2:$F$60,"&gt;0")=0,"",_xlfn.MINIFS(Consolidated!$F$2:$F$60,Consolidated!$B$2:$B$60,$A46,Consolidated!$D$2:$D$60,$B46,Consolidated!$F$2:$F$60,"&gt;0"))</f>
        <v/>
      </c>
      <c r="F46" s="3" t="str">
        <f aca="false">IF(COUNTIFS(Consolidated!$B$2:$B$60,$A46,Consolidated!$D$2:$D$60,$B46,Consolidated!$F$2:$F$60,"&gt;0")=0,"",_xlfn.MAXIFS(Consolidated!$G$2:$G$60,Consolidated!$B$2:$B$60,$A46,Consolidated!$D$2:$D$60,$B46))</f>
        <v/>
      </c>
      <c r="G46" s="3" t="str">
        <f aca="false">IFERROR(IF(AND(ISNUMBER($E46),ISNUMBER($F46)),$F46-$E46,""),"")</f>
        <v/>
      </c>
      <c r="H46" s="3" t="s">
        <v>44</v>
      </c>
    </row>
    <row r="48" customFormat="false" ht="15" hidden="false" customHeight="false" outlineLevel="0" collapsed="false">
      <c r="A48" s="5" t="s">
        <v>285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2"/>
    <col collapsed="false" customWidth="true" hidden="false" outlineLevel="0" max="3" min="3" style="0" width="52"/>
    <col collapsed="false" customWidth="true" hidden="false" outlineLevel="0" max="4" min="4" style="0" width="40"/>
    <col collapsed="false" customWidth="true" hidden="false" outlineLevel="0" max="5" min="5" style="0" width="44"/>
    <col collapsed="false" customWidth="true" hidden="false" outlineLevel="0" max="6" min="6" style="0" width="14"/>
  </cols>
  <sheetData>
    <row r="1" customFormat="false" ht="15" hidden="false" customHeight="false" outlineLevel="0" collapsed="false">
      <c r="A1" s="1" t="s">
        <v>286</v>
      </c>
      <c r="B1" s="1" t="s">
        <v>287</v>
      </c>
      <c r="C1" s="1" t="s">
        <v>288</v>
      </c>
      <c r="D1" s="1" t="s">
        <v>289</v>
      </c>
      <c r="E1" s="1" t="s">
        <v>290</v>
      </c>
      <c r="F1" s="1" t="s">
        <v>19</v>
      </c>
    </row>
    <row r="2" customFormat="false" ht="23.85" hidden="false" customHeight="false" outlineLevel="0" collapsed="false">
      <c r="A2" s="2" t="s">
        <v>291</v>
      </c>
      <c r="B2" s="2" t="s">
        <v>292</v>
      </c>
      <c r="C2" s="2" t="s">
        <v>293</v>
      </c>
      <c r="D2" s="2" t="s">
        <v>294</v>
      </c>
      <c r="E2" s="2" t="s">
        <v>295</v>
      </c>
      <c r="F2" s="2" t="s">
        <v>33</v>
      </c>
    </row>
    <row r="3" customFormat="false" ht="23.85" hidden="false" customHeight="false" outlineLevel="0" collapsed="false">
      <c r="A3" s="3" t="s">
        <v>296</v>
      </c>
      <c r="B3" s="3" t="s">
        <v>297</v>
      </c>
      <c r="C3" s="3" t="s">
        <v>298</v>
      </c>
      <c r="D3" s="3" t="s">
        <v>299</v>
      </c>
      <c r="E3" s="3" t="s">
        <v>300</v>
      </c>
      <c r="F3" s="3" t="s">
        <v>33</v>
      </c>
    </row>
    <row r="4" customFormat="false" ht="23.85" hidden="false" customHeight="false" outlineLevel="0" collapsed="false">
      <c r="A4" s="2" t="s">
        <v>301</v>
      </c>
      <c r="B4" s="2" t="s">
        <v>302</v>
      </c>
      <c r="C4" s="2" t="s">
        <v>303</v>
      </c>
      <c r="D4" s="2" t="s">
        <v>304</v>
      </c>
      <c r="E4" s="2" t="s">
        <v>305</v>
      </c>
      <c r="F4" s="2" t="s">
        <v>33</v>
      </c>
    </row>
    <row r="5" customFormat="false" ht="23.85" hidden="false" customHeight="false" outlineLevel="0" collapsed="false">
      <c r="A5" s="3" t="s">
        <v>306</v>
      </c>
      <c r="B5" s="3" t="s">
        <v>307</v>
      </c>
      <c r="C5" s="3" t="s">
        <v>308</v>
      </c>
      <c r="D5" s="3" t="s">
        <v>32</v>
      </c>
      <c r="E5" s="3" t="s">
        <v>309</v>
      </c>
      <c r="F5" s="3" t="s">
        <v>33</v>
      </c>
    </row>
    <row r="6" customFormat="false" ht="23.85" hidden="false" customHeight="false" outlineLevel="0" collapsed="false">
      <c r="A6" s="2" t="s">
        <v>310</v>
      </c>
      <c r="B6" s="2" t="s">
        <v>311</v>
      </c>
      <c r="C6" s="2" t="s">
        <v>312</v>
      </c>
      <c r="D6" s="2" t="s">
        <v>53</v>
      </c>
      <c r="E6" s="2" t="s">
        <v>313</v>
      </c>
      <c r="F6" s="2" t="s">
        <v>33</v>
      </c>
    </row>
    <row r="7" customFormat="false" ht="23.85" hidden="false" customHeight="false" outlineLevel="0" collapsed="false">
      <c r="A7" s="3" t="s">
        <v>314</v>
      </c>
      <c r="B7" s="3" t="s">
        <v>315</v>
      </c>
      <c r="C7" s="3" t="s">
        <v>316</v>
      </c>
      <c r="D7" s="3" t="s">
        <v>317</v>
      </c>
      <c r="E7" s="3" t="s">
        <v>318</v>
      </c>
      <c r="F7" s="3" t="s">
        <v>33</v>
      </c>
    </row>
    <row r="8" customFormat="false" ht="35.05" hidden="false" customHeight="false" outlineLevel="0" collapsed="false">
      <c r="A8" s="2" t="s">
        <v>319</v>
      </c>
      <c r="B8" s="2" t="s">
        <v>320</v>
      </c>
      <c r="C8" s="2" t="s">
        <v>321</v>
      </c>
      <c r="D8" s="2" t="s">
        <v>241</v>
      </c>
      <c r="E8" s="2" t="s">
        <v>322</v>
      </c>
      <c r="F8" s="2" t="s">
        <v>33</v>
      </c>
    </row>
    <row r="9" customFormat="false" ht="35.05" hidden="false" customHeight="false" outlineLevel="0" collapsed="false">
      <c r="A9" s="3" t="s">
        <v>323</v>
      </c>
      <c r="B9" s="3" t="s">
        <v>320</v>
      </c>
      <c r="C9" s="3" t="s">
        <v>324</v>
      </c>
      <c r="D9" s="3" t="s">
        <v>325</v>
      </c>
      <c r="E9" s="3" t="s">
        <v>326</v>
      </c>
      <c r="F9" s="3" t="s">
        <v>33</v>
      </c>
    </row>
    <row r="10" customFormat="false" ht="23.85" hidden="false" customHeight="false" outlineLevel="0" collapsed="false">
      <c r="A10" s="2" t="s">
        <v>327</v>
      </c>
      <c r="B10" s="2" t="s">
        <v>320</v>
      </c>
      <c r="C10" s="2" t="s">
        <v>328</v>
      </c>
      <c r="D10" s="2" t="s">
        <v>329</v>
      </c>
      <c r="E10" s="2" t="s">
        <v>330</v>
      </c>
      <c r="F10" s="2" t="s">
        <v>33</v>
      </c>
    </row>
    <row r="11" customFormat="false" ht="15" hidden="false" customHeight="false" outlineLevel="0" collapsed="false">
      <c r="A11" s="3" t="s">
        <v>331</v>
      </c>
      <c r="B11" s="3" t="s">
        <v>332</v>
      </c>
      <c r="C11" s="3" t="s">
        <v>333</v>
      </c>
      <c r="D11" s="3" t="s">
        <v>334</v>
      </c>
      <c r="E11" s="3" t="s">
        <v>335</v>
      </c>
      <c r="F11" s="3" t="s">
        <v>33</v>
      </c>
    </row>
    <row r="12" customFormat="false" ht="46.25" hidden="false" customHeight="false" outlineLevel="0" collapsed="false">
      <c r="A12" s="2" t="s">
        <v>336</v>
      </c>
      <c r="B12" s="2" t="s">
        <v>337</v>
      </c>
      <c r="C12" s="2" t="s">
        <v>303</v>
      </c>
      <c r="D12" s="2" t="s">
        <v>43</v>
      </c>
      <c r="E12" s="2" t="s">
        <v>338</v>
      </c>
      <c r="F12" s="2" t="s">
        <v>44</v>
      </c>
    </row>
    <row r="13" customFormat="false" ht="46.25" hidden="false" customHeight="false" outlineLevel="0" collapsed="false">
      <c r="A13" s="3" t="s">
        <v>339</v>
      </c>
      <c r="B13" s="3" t="s">
        <v>340</v>
      </c>
      <c r="C13" s="3" t="s">
        <v>312</v>
      </c>
      <c r="D13" s="3" t="s">
        <v>53</v>
      </c>
      <c r="E13" s="3" t="s">
        <v>341</v>
      </c>
      <c r="F13" s="3" t="s">
        <v>44</v>
      </c>
    </row>
    <row r="14" customFormat="false" ht="35.05" hidden="false" customHeight="false" outlineLevel="0" collapsed="false">
      <c r="A14" s="2" t="s">
        <v>342</v>
      </c>
      <c r="B14" s="2" t="s">
        <v>343</v>
      </c>
      <c r="C14" s="2" t="s">
        <v>344</v>
      </c>
      <c r="D14" s="2" t="s">
        <v>345</v>
      </c>
      <c r="E14" s="2" t="s">
        <v>346</v>
      </c>
      <c r="F14" s="2" t="s">
        <v>44</v>
      </c>
    </row>
    <row r="15" customFormat="false" ht="46.25" hidden="false" customHeight="false" outlineLevel="0" collapsed="false">
      <c r="A15" s="3" t="s">
        <v>347</v>
      </c>
      <c r="B15" s="3" t="s">
        <v>348</v>
      </c>
      <c r="C15" s="3" t="s">
        <v>349</v>
      </c>
      <c r="D15" s="3" t="s">
        <v>350</v>
      </c>
      <c r="E15" s="3" t="s">
        <v>351</v>
      </c>
      <c r="F15" s="3" t="s">
        <v>44</v>
      </c>
    </row>
    <row r="16" customFormat="false" ht="68.65" hidden="false" customHeight="false" outlineLevel="0" collapsed="false">
      <c r="A16" s="2" t="s">
        <v>352</v>
      </c>
      <c r="B16" s="2" t="s">
        <v>353</v>
      </c>
      <c r="C16" s="2" t="s">
        <v>354</v>
      </c>
      <c r="D16" s="2" t="s">
        <v>77</v>
      </c>
      <c r="E16" s="2" t="s">
        <v>355</v>
      </c>
      <c r="F16" s="2" t="s">
        <v>44</v>
      </c>
    </row>
    <row r="17" customFormat="false" ht="68.65" hidden="false" customHeight="false" outlineLevel="0" collapsed="false">
      <c r="A17" s="3" t="s">
        <v>356</v>
      </c>
      <c r="B17" s="3" t="s">
        <v>357</v>
      </c>
      <c r="C17" s="3" t="s">
        <v>358</v>
      </c>
      <c r="D17" s="3" t="s">
        <v>121</v>
      </c>
      <c r="E17" s="3" t="s">
        <v>359</v>
      </c>
      <c r="F17" s="3" t="s">
        <v>44</v>
      </c>
    </row>
    <row r="18" customFormat="false" ht="35.05" hidden="false" customHeight="false" outlineLevel="0" collapsed="false">
      <c r="A18" s="2" t="s">
        <v>360</v>
      </c>
      <c r="B18" s="2" t="s">
        <v>361</v>
      </c>
      <c r="C18" s="2" t="s">
        <v>362</v>
      </c>
      <c r="D18" s="2" t="s">
        <v>363</v>
      </c>
      <c r="E18" s="2" t="s">
        <v>364</v>
      </c>
      <c r="F18" s="2" t="s">
        <v>44</v>
      </c>
    </row>
    <row r="19" customFormat="false" ht="46.25" hidden="false" customHeight="false" outlineLevel="0" collapsed="false">
      <c r="A19" s="3" t="s">
        <v>365</v>
      </c>
      <c r="B19" s="3" t="s">
        <v>366</v>
      </c>
      <c r="C19" s="3" t="s">
        <v>367</v>
      </c>
      <c r="D19" s="3" t="s">
        <v>368</v>
      </c>
      <c r="E19" s="3" t="s">
        <v>369</v>
      </c>
      <c r="F19" s="3" t="s">
        <v>44</v>
      </c>
    </row>
    <row r="20" customFormat="false" ht="35.05" hidden="false" customHeight="false" outlineLevel="0" collapsed="false">
      <c r="A20" s="2" t="s">
        <v>370</v>
      </c>
      <c r="B20" s="2" t="s">
        <v>366</v>
      </c>
      <c r="C20" s="2" t="s">
        <v>371</v>
      </c>
      <c r="D20" s="2" t="s">
        <v>372</v>
      </c>
      <c r="E20" s="2" t="s">
        <v>373</v>
      </c>
      <c r="F20" s="2" t="s">
        <v>44</v>
      </c>
    </row>
    <row r="21" customFormat="false" ht="46.25" hidden="false" customHeight="false" outlineLevel="0" collapsed="false">
      <c r="A21" s="3" t="s">
        <v>331</v>
      </c>
      <c r="B21" s="3" t="s">
        <v>374</v>
      </c>
      <c r="C21" s="3" t="s">
        <v>375</v>
      </c>
      <c r="D21" s="3" t="s">
        <v>376</v>
      </c>
      <c r="E21" s="3" t="s">
        <v>377</v>
      </c>
      <c r="F21" s="3" t="s">
        <v>44</v>
      </c>
    </row>
    <row r="22" customFormat="false" ht="57.45" hidden="false" customHeight="false" outlineLevel="0" collapsed="false">
      <c r="A22" s="2" t="s">
        <v>378</v>
      </c>
      <c r="B22" s="2" t="s">
        <v>379</v>
      </c>
      <c r="C22" s="2" t="s">
        <v>380</v>
      </c>
      <c r="D22" s="2" t="s">
        <v>178</v>
      </c>
      <c r="E22" s="2" t="s">
        <v>381</v>
      </c>
      <c r="F22" s="2" t="s">
        <v>44</v>
      </c>
    </row>
    <row r="23" customFormat="false" ht="35.05" hidden="false" customHeight="false" outlineLevel="0" collapsed="false">
      <c r="A23" s="3" t="s">
        <v>382</v>
      </c>
      <c r="B23" s="3" t="s">
        <v>383</v>
      </c>
      <c r="C23" s="3" t="s">
        <v>384</v>
      </c>
      <c r="D23" s="3" t="s">
        <v>385</v>
      </c>
      <c r="E23" s="3" t="s">
        <v>386</v>
      </c>
      <c r="F23" s="3" t="s">
        <v>44</v>
      </c>
    </row>
    <row r="24" customFormat="false" ht="46.25" hidden="false" customHeight="false" outlineLevel="0" collapsed="false">
      <c r="A24" s="2" t="s">
        <v>387</v>
      </c>
      <c r="B24" s="2" t="s">
        <v>366</v>
      </c>
      <c r="C24" s="2" t="s">
        <v>388</v>
      </c>
      <c r="D24" s="2" t="s">
        <v>389</v>
      </c>
      <c r="E24" s="2" t="s">
        <v>390</v>
      </c>
      <c r="F24" s="2" t="s">
        <v>44</v>
      </c>
    </row>
  </sheetData>
  <autoFilter ref="A1:F2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7.35" hidden="false" customHeight="false" outlineLevel="0" collapsed="false">
      <c r="A1" s="6" t="s">
        <v>391</v>
      </c>
    </row>
    <row r="2" customFormat="false" ht="15" hidden="false" customHeight="false" outlineLevel="0" collapsed="false">
      <c r="A2" s="7"/>
    </row>
    <row r="3" customFormat="false" ht="15" hidden="false" customHeight="false" outlineLevel="0" collapsed="false">
      <c r="A3" s="8" t="s">
        <v>392</v>
      </c>
    </row>
    <row r="4" customFormat="false" ht="23.85" hidden="false" customHeight="false" outlineLevel="0" collapsed="false">
      <c r="A4" s="7" t="s">
        <v>393</v>
      </c>
    </row>
    <row r="5" customFormat="false" ht="15" hidden="false" customHeight="false" outlineLevel="0" collapsed="false">
      <c r="A5" s="7" t="s">
        <v>394</v>
      </c>
    </row>
    <row r="6" customFormat="false" ht="15" hidden="false" customHeight="false" outlineLevel="0" collapsed="false">
      <c r="A6" s="7" t="s">
        <v>395</v>
      </c>
    </row>
    <row r="7" customFormat="false" ht="15" hidden="false" customHeight="false" outlineLevel="0" collapsed="false">
      <c r="A7" s="7"/>
    </row>
    <row r="8" customFormat="false" ht="15" hidden="false" customHeight="false" outlineLevel="0" collapsed="false">
      <c r="A8" s="8" t="s">
        <v>396</v>
      </c>
    </row>
    <row r="9" customFormat="false" ht="35.05" hidden="false" customHeight="false" outlineLevel="0" collapsed="false">
      <c r="A9" s="7" t="s">
        <v>397</v>
      </c>
    </row>
    <row r="10" customFormat="false" ht="35.05" hidden="false" customHeight="false" outlineLevel="0" collapsed="false">
      <c r="A10" s="7" t="s">
        <v>398</v>
      </c>
    </row>
    <row r="11" customFormat="false" ht="35.05" hidden="false" customHeight="false" outlineLevel="0" collapsed="false">
      <c r="A11" s="7" t="s">
        <v>399</v>
      </c>
    </row>
    <row r="12" customFormat="false" ht="15" hidden="false" customHeight="false" outlineLevel="0" collapsed="false">
      <c r="A12" s="7"/>
    </row>
    <row r="13" customFormat="false" ht="15" hidden="false" customHeight="false" outlineLevel="0" collapsed="false">
      <c r="A13" s="8" t="s">
        <v>400</v>
      </c>
    </row>
    <row r="14" customFormat="false" ht="35.05" hidden="false" customHeight="false" outlineLevel="0" collapsed="false">
      <c r="A14" s="7" t="s">
        <v>401</v>
      </c>
    </row>
    <row r="15" customFormat="false" ht="23.85" hidden="false" customHeight="false" outlineLevel="0" collapsed="false">
      <c r="A15" s="7" t="s">
        <v>402</v>
      </c>
    </row>
    <row r="16" customFormat="false" ht="15" hidden="false" customHeight="false" outlineLevel="0" collapsed="false">
      <c r="A16" s="7" t="s">
        <v>403</v>
      </c>
    </row>
    <row r="17" customFormat="false" ht="15" hidden="false" customHeight="false" outlineLevel="0" collapsed="false">
      <c r="A17" s="7"/>
    </row>
    <row r="18" customFormat="false" ht="15" hidden="false" customHeight="false" outlineLevel="0" collapsed="false">
      <c r="A18" s="8" t="s">
        <v>404</v>
      </c>
    </row>
    <row r="19" customFormat="false" ht="35.05" hidden="false" customHeight="false" outlineLevel="0" collapsed="false">
      <c r="A19" s="7" t="s">
        <v>405</v>
      </c>
    </row>
    <row r="20" customFormat="false" ht="35.05" hidden="false" customHeight="false" outlineLevel="0" collapsed="false">
      <c r="A20" s="7" t="s">
        <v>406</v>
      </c>
    </row>
    <row r="21" customFormat="false" ht="15" hidden="false" customHeight="false" outlineLevel="0" collapsed="false">
      <c r="A21" s="7"/>
    </row>
    <row r="22" customFormat="false" ht="15" hidden="false" customHeight="false" outlineLevel="0" collapsed="false">
      <c r="A22" s="8" t="s">
        <v>407</v>
      </c>
    </row>
    <row r="23" customFormat="false" ht="46.25" hidden="false" customHeight="false" outlineLevel="0" collapsed="false">
      <c r="A23" s="7" t="s">
        <v>408</v>
      </c>
    </row>
    <row r="24" customFormat="false" ht="35.05" hidden="false" customHeight="false" outlineLevel="0" collapsed="false">
      <c r="A24" s="7" t="s">
        <v>409</v>
      </c>
    </row>
    <row r="25" customFormat="false" ht="15" hidden="false" customHeight="false" outlineLevel="0" collapsed="false">
      <c r="A25" s="7"/>
    </row>
    <row r="26" customFormat="false" ht="15" hidden="false" customHeight="false" outlineLevel="0" collapsed="false">
      <c r="A26" s="8" t="s">
        <v>410</v>
      </c>
    </row>
    <row r="27" customFormat="false" ht="35.05" hidden="false" customHeight="false" outlineLevel="0" collapsed="false">
      <c r="A27" s="7" t="s">
        <v>411</v>
      </c>
    </row>
    <row r="28" customFormat="false" ht="23.85" hidden="false" customHeight="false" outlineLevel="0" collapsed="false">
      <c r="A28" s="7" t="s">
        <v>412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2026-09-15T23:01:08Z</dcterms:created>
  <dc:creator>openpyxl</dc:creator>
  <dc:description/>
  <dc:language>en-US</dc:language>
  <cp:lastModifiedBy/>
  <dcterms:modified xsi:type="dcterms:W3CDTF">2026-09-15T23:01:08Z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